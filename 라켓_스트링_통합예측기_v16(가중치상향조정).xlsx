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미건메인\Downloads\"/>
    </mc:Choice>
  </mc:AlternateContent>
  <xr:revisionPtr revIDLastSave="0" documentId="13_ncr:1_{BFC6C5DA-FF88-46E2-BE98-56CFEF5CE67C}" xr6:coauthVersionLast="47" xr6:coauthVersionMax="47" xr10:uidLastSave="{00000000-0000-0000-0000-000000000000}"/>
  <bookViews>
    <workbookView xWindow="38280" yWindow="-120" windowWidth="29040" windowHeight="16440" activeTab="1" xr2:uid="{00000000-000D-0000-FFFF-FFFF00000000}"/>
  </bookViews>
  <sheets>
    <sheet name="스트링DB" sheetId="1" r:id="rId1"/>
    <sheet name="라켓DB" sheetId="2" r:id="rId2"/>
    <sheet name="기변_통합예측기" sheetId="3" r:id="rId3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E8" i="3"/>
  <c r="D8" i="3"/>
  <c r="C8" i="3"/>
  <c r="E7" i="3"/>
  <c r="D7" i="3"/>
  <c r="C7" i="3"/>
  <c r="E3" i="3"/>
  <c r="D3" i="3"/>
  <c r="C3" i="3"/>
  <c r="E2" i="3"/>
  <c r="D2" i="3"/>
  <c r="C2" i="3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J43" i="2"/>
  <c r="K43" i="2" s="1"/>
  <c r="J42" i="2"/>
  <c r="K42" i="2" s="1"/>
  <c r="J41" i="2"/>
  <c r="K41" i="2" s="1"/>
  <c r="K40" i="2"/>
  <c r="J40" i="2"/>
  <c r="J39" i="2"/>
  <c r="K39" i="2" s="1"/>
  <c r="J38" i="2"/>
  <c r="K38" i="2" s="1"/>
  <c r="K37" i="2"/>
  <c r="J37" i="2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<sst xmlns="http://schemas.openxmlformats.org/spreadsheetml/2006/main" count="1550" uniqueCount="567">
  <si>
    <t>String</t>
  </si>
  <si>
    <t>두께(mm)</t>
  </si>
  <si>
    <t>Material</t>
  </si>
  <si>
    <t>Stiffness (lb/in)</t>
  </si>
  <si>
    <t>Tension Loss (%)</t>
  </si>
  <si>
    <t>Spin Potential</t>
  </si>
  <si>
    <t>Ref. Ten. (lbs)</t>
  </si>
  <si>
    <t>Swing Speed</t>
  </si>
  <si>
    <t>Weiss Cannon Ultra Cable 17 (1.23)</t>
  </si>
  <si>
    <t>Volkl V-Square 16 (1.30)</t>
  </si>
  <si>
    <t>Weiss Cannon Blue Rock N Power</t>
  </si>
  <si>
    <t>Babolat RPM Blast Rough 17</t>
  </si>
  <si>
    <t>Tecnifibre Black Code 4S 17 (1.25)</t>
  </si>
  <si>
    <t>Toroline O-Toro 17 (1.23)</t>
  </si>
  <si>
    <t>Diadem Elite XT 17</t>
  </si>
  <si>
    <t>Tecnifibre Black Code 4S 16 (1.30)</t>
  </si>
  <si>
    <t>Volkl Cyclone 18L (1.15)</t>
  </si>
  <si>
    <t>Volkl Cyclone Tour 16 (1.30)</t>
  </si>
  <si>
    <t>Diadem Elite XT 16</t>
  </si>
  <si>
    <t>Diadem Solstice Power 17 (1.20)</t>
  </si>
  <si>
    <t>MSV Focus-Hex 16 (1.27)</t>
  </si>
  <si>
    <t>Weiss Cannon Red Ghost 17L (1.18)</t>
  </si>
  <si>
    <t>Volkl V-Torque Tour 16 (1.30)</t>
  </si>
  <si>
    <t>Pacific Poly Power Pro 16 (1.30)</t>
  </si>
  <si>
    <t>Luxilon ECO Power 17 (1.25)</t>
  </si>
  <si>
    <t>Volkl Cyclone 19 (1.10)</t>
  </si>
  <si>
    <t>Grapplesnake Tour M8 17 (1.25)</t>
  </si>
  <si>
    <t>Toroline O-Toro Spin 17 (1.23)</t>
  </si>
  <si>
    <t>Babolat RPM Blast Rough 16</t>
  </si>
  <si>
    <t>Diadem Solstice Power 16 (1.30)</t>
  </si>
  <si>
    <t>Prince Vortex 16 (1.30)</t>
  </si>
  <si>
    <t>Solinco Revolution 16L (1.25)</t>
  </si>
  <si>
    <t>Volkl Cyclone Tour 18 (1.20)</t>
  </si>
  <si>
    <t>Wilson Revolve 17 (1.25)</t>
  </si>
  <si>
    <t>MSV Focus-Hex +38 16L (1.25)</t>
  </si>
  <si>
    <t>Double AR Diablo (1.31)</t>
  </si>
  <si>
    <t>Toroline O-Toro Tour 17 (1.23)</t>
  </si>
  <si>
    <t>Yonex Poly Tour Drive 16L (1.25)</t>
  </si>
  <si>
    <t>Head Hawk Power 17 (1.25)</t>
  </si>
  <si>
    <t>Kirschbaum Spiky Shark 16</t>
  </si>
  <si>
    <t>MSV Focus-Hex 16 (1.23)</t>
  </si>
  <si>
    <t>Solinco Hyper-G 18 (1.15)</t>
  </si>
  <si>
    <t>Kirschbaum Spiky Shark 17</t>
  </si>
  <si>
    <t>Double AR Diablo (1.24)</t>
  </si>
  <si>
    <t>Tecnifibre Razor Soft 17 (1.25)</t>
  </si>
  <si>
    <t>MSV Focus Hex Soft 17L (1.20)</t>
  </si>
  <si>
    <t>Solinco Hyper-G 16 Round (1.30)</t>
  </si>
  <si>
    <t>Signum Pro Plasma HEXtreme 16 (1.30)</t>
  </si>
  <si>
    <t>Diadem Solstice Pro 16L (1.25)</t>
  </si>
  <si>
    <t>Babolat RPM Blast Rough 15L</t>
  </si>
  <si>
    <t>Babolat RPM Blast 15L (1.35)</t>
  </si>
  <si>
    <t>Double AR WTS 25 (1.25)</t>
  </si>
  <si>
    <t>Diadem Solstice Power 16L (1.25)</t>
  </si>
  <si>
    <t>Solinco Tour Bite Soft 18 (1.15)</t>
  </si>
  <si>
    <t>MSV Co-Focus 17L (1.18)</t>
  </si>
  <si>
    <t>Double AR Twice Dragon(1.30)</t>
  </si>
  <si>
    <t>Solinco Tour Bite 19 (1.10)</t>
  </si>
  <si>
    <t>Yonex Polytour Rev 16L (1.25)</t>
  </si>
  <si>
    <t>Wilson Revolve 16 (1.30)</t>
  </si>
  <si>
    <t>Kirschbaum Xplosive Speed 1.25</t>
  </si>
  <si>
    <t>Volkl Cyclone 18</t>
  </si>
  <si>
    <t>Diadem Solstice Pro 15L (1.35)</t>
  </si>
  <si>
    <t>Diadem Solstice Power 15L (1.35)</t>
  </si>
  <si>
    <t>Head Lynx Tour 17 (1.25)</t>
  </si>
  <si>
    <t>Gamma Ocho 17 (1.25)</t>
  </si>
  <si>
    <t>Solinco Hyper-G 16</t>
  </si>
  <si>
    <t>IsoSpeed Pyramid 16</t>
  </si>
  <si>
    <t>Head Lynx 16 (1.30)</t>
  </si>
  <si>
    <t>Gamma Moto Soft 17 (1.24)</t>
  </si>
  <si>
    <t>Luxilon Element Soft IR 1.27</t>
  </si>
  <si>
    <t>Babolat RPM Blast Orange 16 (1.30)</t>
  </si>
  <si>
    <t>Luxilon Element Rough 16 (1.30)</t>
  </si>
  <si>
    <t>Luxilon Alu Power Soft 1.25</t>
  </si>
  <si>
    <t>Volkl V-Star 16 (1.30)</t>
  </si>
  <si>
    <t>Solinco Tour Bite 16 Soft</t>
  </si>
  <si>
    <t>Gamma Ocho 16 (1.30)</t>
  </si>
  <si>
    <t>Luxilon LXN Smart 16L (1.25)</t>
  </si>
  <si>
    <t>Kirschbaum Max Power Rough 18 (1.20)</t>
  </si>
  <si>
    <t>Tourna Big HItter Silver 16</t>
  </si>
  <si>
    <t>Solinco Tour Bite 16</t>
  </si>
  <si>
    <t>L-Tec Premium 4S 16L (1.25)</t>
  </si>
  <si>
    <t>Luxilon 4G Soft 1.25</t>
  </si>
  <si>
    <t>Gamma Jet 16L (1.28)</t>
  </si>
  <si>
    <t>Prince Tour XP 17 (1.25)</t>
  </si>
  <si>
    <t>Grapplesnake Alpha 17 (1.25)</t>
  </si>
  <si>
    <t>Prince Tour XR 15L (1.35)</t>
  </si>
  <si>
    <t>Solinco Revolution 17</t>
  </si>
  <si>
    <t>Pacific XCite 16 (1.30)</t>
  </si>
  <si>
    <t>Luxilon Element 1.30</t>
  </si>
  <si>
    <t>Solinco Outlast 18 (1.15)</t>
  </si>
  <si>
    <t>Gosen Lumina Spin 16L (1.26)</t>
  </si>
  <si>
    <t>Volkl V-Star 19 (1.10)</t>
  </si>
  <si>
    <t>MSV Focus Hex 17L (1.18)</t>
  </si>
  <si>
    <t>Solinco Outlast 16L (1.25)</t>
  </si>
  <si>
    <t>Luxilon ALU Power Rough 16L (1.25)</t>
  </si>
  <si>
    <t>Volkl V-Star 18L (1.15)</t>
  </si>
  <si>
    <t>Tecnifibre Pro Red Code Wax 17</t>
  </si>
  <si>
    <t>Head Hawk 16 (1.30)</t>
  </si>
  <si>
    <t>Gamma Moto Soft 16 (1.29)</t>
  </si>
  <si>
    <t>Solinco Revolution 16</t>
  </si>
  <si>
    <t>Prince Tour XT 18</t>
  </si>
  <si>
    <t>Gamma IO 18 (1.18)</t>
  </si>
  <si>
    <t>LaserFibre Vorso 16 (1.28)</t>
  </si>
  <si>
    <t>Solinco Confidential 16 (1.30)</t>
  </si>
  <si>
    <t>Gamma IO Soft 15L (1.40)</t>
  </si>
  <si>
    <t>MSV Focus Hex Soft 17 (1.25)</t>
  </si>
  <si>
    <t>Solinco Revolution 18 (1.16)</t>
  </si>
  <si>
    <t>Tourna Big Hitter Black 7 17</t>
  </si>
  <si>
    <t>Head Hawk 18 (1.20)</t>
  </si>
  <si>
    <t>Solinco Tour Bite 17</t>
  </si>
  <si>
    <t>Head Lynx 18 (1.20)</t>
  </si>
  <si>
    <t>Signum Pro Yellow Jacket 17g (1.22)</t>
  </si>
  <si>
    <t>Gamma Moto 17 (1.24)</t>
  </si>
  <si>
    <t>Yonex Poly Tour Spin 16L (1.25)</t>
  </si>
  <si>
    <t>LaserFibre Vorso 17 (1.23)</t>
  </si>
  <si>
    <t>Y-Tex Quadro Twist 16L</t>
  </si>
  <si>
    <t>Head Lynx Touch 16g (1.30)</t>
  </si>
  <si>
    <t>Polyfibre Black Venom Rough 16L (1.25)</t>
  </si>
  <si>
    <t>Volkl Cyclone 16</t>
  </si>
  <si>
    <t>Genesis Black Magic 16 (1.29)</t>
  </si>
  <si>
    <t>Signum Pro X-Perience 17 (1.24)</t>
  </si>
  <si>
    <t>Klip K-Boom 18 (1.20)</t>
  </si>
  <si>
    <t>Gamma Zo Tour Rough 16</t>
  </si>
  <si>
    <t>Tecnifibre Black Code 15L (1.32)</t>
  </si>
  <si>
    <t>Kirschbaum Max Power 18 (1.20)</t>
  </si>
  <si>
    <t>Gamma Zo Verve 17</t>
  </si>
  <si>
    <t>Head Lynx Tour 16 (1.30)</t>
  </si>
  <si>
    <t>Wilson Revolve 15 (1.35)</t>
  </si>
  <si>
    <t>Volkl Cyclone Tour 17 (1.25)</t>
  </si>
  <si>
    <t>Gamma IO Soft 16 (1.28)</t>
  </si>
  <si>
    <t>Solinco Hyper-G 17 (1.20)</t>
  </si>
  <si>
    <t>Tecnifibre Razor Code 18 (1.20)</t>
  </si>
  <si>
    <t>Solinco Hyper-G 16L (1.25)</t>
  </si>
  <si>
    <t>Tecnifibre Black Code 4S 18 (1.20)</t>
  </si>
  <si>
    <t>Solinco Mach 10 16 (1.30)</t>
  </si>
  <si>
    <t>Volkl V-Torque 18 (1.18)</t>
  </si>
  <si>
    <t>Tourna Black Zone 17</t>
  </si>
  <si>
    <t>Solinco Outlast 16</t>
  </si>
  <si>
    <t>Kirschbaum Max Power Rough 16 (1.30)</t>
  </si>
  <si>
    <t>Signum Pro Tornado 18 (1.17)</t>
  </si>
  <si>
    <t>Signum Pro Plasma HEXtreme 16L/1.25</t>
  </si>
  <si>
    <t>Prince Tour XR 17 (1.25)</t>
  </si>
  <si>
    <t>Prince Tour XC 17L</t>
  </si>
  <si>
    <t>Solinco Tour Bite 16L (1.25)</t>
  </si>
  <si>
    <t>Kirschbaum Max Power 16 (1.30)</t>
  </si>
  <si>
    <t>Gamma IO Soft 17 (1.23)</t>
  </si>
  <si>
    <t>Gamma Zo Verve 16 (1.32)</t>
  </si>
  <si>
    <t>Topspin Cyber Blue 16</t>
  </si>
  <si>
    <t>Kirschbaum Black Shark 17 (1.25)</t>
  </si>
  <si>
    <t>Gosen Polylon Premium 16 (1.32)</t>
  </si>
  <si>
    <t>Volkl Cyclone 17</t>
  </si>
  <si>
    <t>Gamma Moto 16</t>
  </si>
  <si>
    <t>Luxilon ALU Power 125/16L</t>
  </si>
  <si>
    <t>Solinco Tour Bite 18 (1.15)</t>
  </si>
  <si>
    <t>Solinco Tour Bite Soft 16L (1.25)</t>
  </si>
  <si>
    <t>Signum Pro Hyperion 18 (1.18)</t>
  </si>
  <si>
    <t>Topspin Cyber Whirl 17 (1.24)</t>
  </si>
  <si>
    <t>Dunlop Ice 16 (1.30)</t>
  </si>
  <si>
    <t>Yonex Poly Tour Fire 16L (1.25)</t>
  </si>
  <si>
    <t>Dunlop Black Widow 18 (1.21)</t>
  </si>
  <si>
    <t>Solinco Tour Bite 20 (1.05)</t>
  </si>
  <si>
    <t>Grapplesnake Tour Sniper 1.25</t>
  </si>
  <si>
    <t>Pacific XCite 16L (1.25)</t>
  </si>
  <si>
    <t>Kirschbaum Pro Line II 1.30</t>
  </si>
  <si>
    <t>Kirschbaum Super Smash 17 (1.25)</t>
  </si>
  <si>
    <t>MSV Hepta-Twist 17</t>
  </si>
  <si>
    <t>Head Lynx 17 (1.25)</t>
  </si>
  <si>
    <t>Double AR Twice Shark (1.25)</t>
  </si>
  <si>
    <t>Yonex Poly Tour HS 16L (1.25)</t>
  </si>
  <si>
    <t>Solinco Tour Bite Soft 17 (1.20)</t>
  </si>
  <si>
    <t>Kirschbaum Xplosive Speed 1.30</t>
  </si>
  <si>
    <t>Gamma IO 17 (1.23)</t>
  </si>
  <si>
    <t>Volkl V-Torque 16</t>
  </si>
  <si>
    <t>Signum Pro Poly-Plasma Pure 16L</t>
  </si>
  <si>
    <t>Gosen Poly Professional 17 (1.24)</t>
  </si>
  <si>
    <t>IsoSpeed Black Fire 17</t>
  </si>
  <si>
    <t>Kirschbaum Max Power Rough 17 (1.25)</t>
  </si>
  <si>
    <t>Tourna Black Zone 16</t>
  </si>
  <si>
    <t>Tourna Big HItter Black 7 16 (1.25)</t>
  </si>
  <si>
    <t>Weiss Cannon Mosquito Bite 18 (1.16)</t>
  </si>
  <si>
    <t>Tecnifibre Ice Code 16 (1.30)</t>
  </si>
  <si>
    <t>Topspin Cyber Delta 17 (1.26)</t>
  </si>
  <si>
    <t>Tecnifibre Razor Code 17 (1.25)</t>
  </si>
  <si>
    <t>Solinco Barb Wire 16L (1.25)</t>
  </si>
  <si>
    <t>Prince Tour XP 16</t>
  </si>
  <si>
    <t>Prince Tour XS 16</t>
  </si>
  <si>
    <t>Boris Becker Bomber NYC 17 (1.23)</t>
  </si>
  <si>
    <t>Gosen Polylon Comfort 16</t>
  </si>
  <si>
    <t>Prince Tour XC 15L</t>
  </si>
  <si>
    <t>Solinco Outlast 17</t>
  </si>
  <si>
    <t>Prince Tour XC 16L</t>
  </si>
  <si>
    <t>Luxilon Element 16L (1.25)</t>
  </si>
  <si>
    <t>Signum Pro Firestorm 16 (1.30)</t>
  </si>
  <si>
    <t>Prince Tour XR 16 (1.30)</t>
  </si>
  <si>
    <t>Kirschbaum Helix 17</t>
  </si>
  <si>
    <t>RS RS Lyon 17</t>
  </si>
  <si>
    <t>Luxilon ALU Power Feel 18/1.20</t>
  </si>
  <si>
    <t>Kirschbaum Black Shark 16 (1.30)</t>
  </si>
  <si>
    <t>Solinco Tour Bite Diamond Rough 16L (1.25)</t>
  </si>
  <si>
    <t>Kirschbaum Max Power 17 (1.25)</t>
  </si>
  <si>
    <t>Gamma Poly Z 16</t>
  </si>
  <si>
    <t>Tourna Big Hitter Silver 17</t>
  </si>
  <si>
    <t>Dunlop Black Widow 17</t>
  </si>
  <si>
    <t>Kirschbaum Touch Turbo 16L (1.275)</t>
  </si>
  <si>
    <t>Kirschbaum Helix 16</t>
  </si>
  <si>
    <t>Gosen Polylon Premium 16L (1.27)</t>
  </si>
  <si>
    <t>Gosen Poly Professional 16 (1.29)</t>
  </si>
  <si>
    <t>Signum Pro Poly Plasma 17 (1.23)</t>
  </si>
  <si>
    <t>Double AR Raptor 1.27</t>
  </si>
  <si>
    <t>Kirschbaum Touch Turbo 1.30</t>
  </si>
  <si>
    <t>Gamma Zo Dart 17 (1.25)</t>
  </si>
  <si>
    <t>Poly Star Turbo 16 (1.30)</t>
  </si>
  <si>
    <t>Kirschbaum Super Smash 16/1.30</t>
  </si>
  <si>
    <t>Yonex Poly Tour Tough 16L</t>
  </si>
  <si>
    <t>Polyfibre Panthera 16 (1.30)</t>
  </si>
  <si>
    <t>Pacific Poly Power Pro 16L (1.25)</t>
  </si>
  <si>
    <t>Luxilon ECO Spin 17 (1.25)</t>
  </si>
  <si>
    <t>Gosen G-Tour 16 (1.30)</t>
  </si>
  <si>
    <t>Boris Becker Bomber NYC 16 (1.28)</t>
  </si>
  <si>
    <t>Prince Tour XP 15L</t>
  </si>
  <si>
    <t>Wilson Ripspin 16</t>
  </si>
  <si>
    <t>Dunlop Black Widow 16</t>
  </si>
  <si>
    <t>Babolat Pro Hurricane Tour 17</t>
  </si>
  <si>
    <t>Kirschbaum Super Smash Spiky 17 (1.25)</t>
  </si>
  <si>
    <t>Yonex Poly Tour Pro 17 (1.20)</t>
  </si>
  <si>
    <t>Wilson Enduro Tour 16</t>
  </si>
  <si>
    <t>Polyfibre Hexablade 17L (1.18)</t>
  </si>
  <si>
    <t>Kirschbaum Touch Turbo 17 (1.25)</t>
  </si>
  <si>
    <t>Wilson Ripspin 17</t>
  </si>
  <si>
    <t>Signum Pro Poly-Plasma Pure 17 (1.23)</t>
  </si>
  <si>
    <t>Kirschbaum P2 16/1.30</t>
  </si>
  <si>
    <t>Head Hawk Touch 18 (1.20)</t>
  </si>
  <si>
    <t>Solinco Hyper-G-Soft 16L (1.25)</t>
  </si>
  <si>
    <t>Topspin Cyber Blue 17</t>
  </si>
  <si>
    <t>Babolat Pro Hurricane Tour 16</t>
  </si>
  <si>
    <t>Kirschbaum Super Smash Spiky 1.20</t>
  </si>
  <si>
    <t>Topspin Cyber Blue 17L (1.20)</t>
  </si>
  <si>
    <t>Kirschbaum Pro Line X 16 (1.30)</t>
  </si>
  <si>
    <t>Dunlop Explosive 17 (1.26)</t>
  </si>
  <si>
    <t>Signum Pro Tornado 16</t>
  </si>
  <si>
    <t>Gosen Polymaster II 16</t>
  </si>
  <si>
    <t>Boris Becker Bomber 16</t>
  </si>
  <si>
    <t>Solinco Tour Bite 15L (1.35)</t>
  </si>
  <si>
    <t>Volkl V-Pro 17</t>
  </si>
  <si>
    <t>One Strings Carbon NRG 16</t>
  </si>
  <si>
    <t>Poly Star Strike 16 (1.30)</t>
  </si>
  <si>
    <t>RS RS Lyon 17L (1.20)</t>
  </si>
  <si>
    <t>Babolat RPM Blast 18 (1.20)</t>
  </si>
  <si>
    <t>IsoSpeed V18 19 (1.12)</t>
  </si>
  <si>
    <t>Volkl V-Pro 16</t>
  </si>
  <si>
    <t>Signum Pro Poly-Plasma 17L (1.18)</t>
  </si>
  <si>
    <t>Pacific Poly Force Xtreme 16L</t>
  </si>
  <si>
    <t>SuperString Viper V2 Rough 16L</t>
  </si>
  <si>
    <t>Prince Tour XS 1.35</t>
  </si>
  <si>
    <t>Poly Star Turbo 16L (1.25)</t>
  </si>
  <si>
    <t>Tecnifibre Pro Red Code 18</t>
  </si>
  <si>
    <t>Kirschbaum Super Smash Spiky 16/1.30</t>
  </si>
  <si>
    <t>Pacific ATP Poly Power Pro 16L</t>
  </si>
  <si>
    <t>Wilson Revolve Spin 16</t>
  </si>
  <si>
    <t>Dunlop Explosive 18 (1.20)</t>
  </si>
  <si>
    <t>Yonex Poly Tour HS 16 (1.30)</t>
  </si>
  <si>
    <t>Luxilon Alu Power Vibe 16 (1.25)</t>
  </si>
  <si>
    <t>Dunlop Ice 17 (1.25)</t>
  </si>
  <si>
    <t>Kirschbaum Competition 16/1.30</t>
  </si>
  <si>
    <t>Tecnifibre Pro Red Code 16</t>
  </si>
  <si>
    <t>LaserFibre Native Tour 17 (1.25)</t>
  </si>
  <si>
    <t>Kirschbaum P2 17 (1.25)</t>
  </si>
  <si>
    <t>Wilson Ripspin 15</t>
  </si>
  <si>
    <t>Tourna Big Hitter Blue 17</t>
  </si>
  <si>
    <t>Volkl V-Pro 18</t>
  </si>
  <si>
    <t>Kirschbaum Pro Line Evolution 17 (1.25)</t>
  </si>
  <si>
    <t>Solinco Tour Bite Diamond Rough 16 (1.30)</t>
  </si>
  <si>
    <t>Head Hawk Rough 17</t>
  </si>
  <si>
    <t>MSV Focus Evo 16</t>
  </si>
  <si>
    <t>Solinco Barb Wire 17 (1.20)</t>
  </si>
  <si>
    <t>Weiss Cannon Scorpion 16L (1.28)</t>
  </si>
  <si>
    <t>Head Hawk Touch 19 (1.15)</t>
  </si>
  <si>
    <t>Gosen Polylon PolyBreak 18 (1.20)</t>
  </si>
  <si>
    <t>Weiss Cannon Turbotwist 17L (1.18)</t>
  </si>
  <si>
    <t>Poly Star Strike 16L (1.25)</t>
  </si>
  <si>
    <t>Signum Pro Tornado 17 (1.23)</t>
  </si>
  <si>
    <t>Kirschbaum Pro Line X 17 (1.25)</t>
  </si>
  <si>
    <t>Topspin Cyber Flash 16</t>
  </si>
  <si>
    <t>Kirschbaum P2 17L (1.20)</t>
  </si>
  <si>
    <t>Luxilon Big Banger Original 130/16</t>
  </si>
  <si>
    <t>Tecnifibre Pro Red Code 17</t>
  </si>
  <si>
    <t>Mantis Power Poly 17</t>
  </si>
  <si>
    <t>Head Sonic Pro Edge 16</t>
  </si>
  <si>
    <t>Signum Pro Poly Megaforce 17 (1.19)</t>
  </si>
  <si>
    <t>Dunlop Explosive 16</t>
  </si>
  <si>
    <t>Mantis Comfort Poly 16</t>
  </si>
  <si>
    <t>Kirschbaum Pro Line II 17L (1.20)</t>
  </si>
  <si>
    <t>Wilson Enduro Tour 17</t>
  </si>
  <si>
    <t>Yonex Poly Tour Spin G 1.25</t>
  </si>
  <si>
    <t>Signum Pro Firestorm 1.25</t>
  </si>
  <si>
    <t>Tecnifibre Ruff Code 16 (1.30)</t>
  </si>
  <si>
    <t>Gamma RZR Rx 17</t>
  </si>
  <si>
    <t>Head Hawk 17 (1.25)</t>
  </si>
  <si>
    <t>Weiss Cannon Black 5 Edge 17 (1.24)</t>
  </si>
  <si>
    <t>IsoSpeed Pulse 16</t>
  </si>
  <si>
    <t>Klip Hardcore 16/1.30</t>
  </si>
  <si>
    <t>Pacific X Force 18</t>
  </si>
  <si>
    <t>Babolat Hurricane Feel 16</t>
  </si>
  <si>
    <t>Gamma Zo Twist 16</t>
  </si>
  <si>
    <t>Signum Pro Poly-Plasma 16L</t>
  </si>
  <si>
    <t>Gosen Polymaster I 16</t>
  </si>
  <si>
    <t>Kirschbaum Pro Line II 17 (1.25)</t>
  </si>
  <si>
    <t>Babolat Ballistic Polymono 16</t>
  </si>
  <si>
    <t>Wilson Enduro Pro 16</t>
  </si>
  <si>
    <t>Gosen Sidewinder 17</t>
  </si>
  <si>
    <t>Kirschbaum Long Life 15</t>
  </si>
  <si>
    <t>Gosen Polylon SP 17 (1.24)</t>
  </si>
  <si>
    <t>Luxilon Monotec Zolo 15L</t>
  </si>
  <si>
    <t>Tecnifibre Black Code 18</t>
  </si>
  <si>
    <t>Signum Pro Hyperion 16</t>
  </si>
  <si>
    <t>Polyfibre Hexablade 16L (1.25)</t>
  </si>
  <si>
    <t>Babolat RPM Dual 16</t>
  </si>
  <si>
    <t>Babolat RPM Blast 17/1.25</t>
  </si>
  <si>
    <t>Topspin Cyber Flash 17L</t>
  </si>
  <si>
    <t>Yonex Poly Tour Strike 16L (1.25)</t>
  </si>
  <si>
    <t>LaserFibre JB Tour 100 17g (1.25)</t>
  </si>
  <si>
    <t>Pacific Poly Force 16L</t>
  </si>
  <si>
    <t>Tourna Big Hitter Silver Rough 16</t>
  </si>
  <si>
    <t>Kirschbaum Pro Line II 18 (1.15)</t>
  </si>
  <si>
    <t>MSV Focus Evo 17</t>
  </si>
  <si>
    <t>Pacific Poly Force 17</t>
  </si>
  <si>
    <t>Dunlop Comfort Poly 17</t>
  </si>
  <si>
    <t>Pacific X Force 17</t>
  </si>
  <si>
    <t>Kirschbaum Competition 17 (1.25)</t>
  </si>
  <si>
    <t>Alien Black Diamond 16</t>
  </si>
  <si>
    <t>Head Ultra Tour 16</t>
  </si>
  <si>
    <t>Babolat RPM Blast 16</t>
  </si>
  <si>
    <t>Poly Star Classic 16L (1.25)</t>
  </si>
  <si>
    <t>Luxilon Big Banger Rough 130/16</t>
  </si>
  <si>
    <t>Babolat Hurricane Feel 17</t>
  </si>
  <si>
    <t>Kirschbaum Pro Line I 1.30</t>
  </si>
  <si>
    <t>Prince Poly EXP 17</t>
  </si>
  <si>
    <t>Polyfibre Poly Hightec 16L</t>
  </si>
  <si>
    <t>Solinco Barb Wire 16</t>
  </si>
  <si>
    <t>Polyfibre Hightec Premium 16L</t>
  </si>
  <si>
    <t>Luxilon Big Banger TiMO 17L (1.17)</t>
  </si>
  <si>
    <t>Polyfibre TCS 16/1.30</t>
  </si>
  <si>
    <t>Kirschbaum Pro Line I 18L (1.15)</t>
  </si>
  <si>
    <t>Pacific X Force 16L (1.29)</t>
  </si>
  <si>
    <t>Polyfibre Black Venom 16 (1.30)</t>
  </si>
  <si>
    <t>Signum Pro Poly Megaforce 16</t>
  </si>
  <si>
    <t>Polyfibre TCS Rapid 16L/1.25</t>
  </si>
  <si>
    <t>Solinco Tour Bite Diamond Rough 17 (1.20)</t>
  </si>
  <si>
    <t>Gosen Polylon 17 (1.24)</t>
  </si>
  <si>
    <t>Luxilon Big Banger ALU Power Spin 127/16</t>
  </si>
  <si>
    <t>L-Tec Premium Pro OS 16L</t>
  </si>
  <si>
    <t>Signum Pro Poly Speed Spin 1.28</t>
  </si>
  <si>
    <t>Head Sonic Pro 16</t>
  </si>
  <si>
    <t>Tecnifibre Razor Code 16 (1.30)</t>
  </si>
  <si>
    <t>Gosen Polylon PolyBreak 17 (1.24)</t>
  </si>
  <si>
    <t>Poly Star Classic 16 (1.30)</t>
  </si>
  <si>
    <t>Weiss Cannon Scorpion 1.33</t>
  </si>
  <si>
    <t>Signum Pro Hyperion 17 (1.24)</t>
  </si>
  <si>
    <t>Topspin Cyber Flash 17</t>
  </si>
  <si>
    <t>Luxilon 4G Rough 16L</t>
  </si>
  <si>
    <t>Polyfibre Hightec Premium 16/1.30</t>
  </si>
  <si>
    <t>Polyfibre TCS 17</t>
  </si>
  <si>
    <t>Weiss Cannon Turbotwist 17 (1.24)</t>
  </si>
  <si>
    <t>Wilson Spin Cycle 16L</t>
  </si>
  <si>
    <t>Gamma Zo Ice 16</t>
  </si>
  <si>
    <t>Tecnifibre Black Code 17</t>
  </si>
  <si>
    <t>MSV Co.-Focus 16L</t>
  </si>
  <si>
    <t>Yonex Poly Tour Air 16L</t>
  </si>
  <si>
    <t>Tourna Big Hitter Silver Rough 17</t>
  </si>
  <si>
    <t>Kirschbaum Competition 17L (1.20)</t>
  </si>
  <si>
    <t>Klip K-Boom 16/1.30</t>
  </si>
  <si>
    <t>Kirschbaum Pro Line I 17 (1.25)</t>
  </si>
  <si>
    <t>Gosen Polylon 16</t>
  </si>
  <si>
    <t>Luxilon Big Banger XP 125/16L</t>
  </si>
  <si>
    <t>Polyfibre Poly Hightec 16/1.30</t>
  </si>
  <si>
    <t>Head Ultratour 17</t>
  </si>
  <si>
    <t>L-Tec Premium OS 17 (1.23)</t>
  </si>
  <si>
    <t>Gamma Zo Magic 16</t>
  </si>
  <si>
    <t>Luxilon Big Banger Ace 18 (1.12)</t>
  </si>
  <si>
    <t>L-Tec Premium 5S 16L (1.25)</t>
  </si>
  <si>
    <t>Poly Star Energy 17 (1.20)</t>
  </si>
  <si>
    <t>Polyfibre Poly Hightec 17</t>
  </si>
  <si>
    <t>Weiss Cannon Scorpion 1.22</t>
  </si>
  <si>
    <t>Gosen Polylon SP 16 (1.30)</t>
  </si>
  <si>
    <t>Poly Star Energy 16 (1.30)</t>
  </si>
  <si>
    <t>L-Tec Premium 3S 16L (1.25)</t>
  </si>
  <si>
    <t>Poly Star Classic 17 (1.20)</t>
  </si>
  <si>
    <t>Gamma Zo Black Ice 18 (1.18)</t>
  </si>
  <si>
    <t>Leopard Plus Control 16</t>
  </si>
  <si>
    <t>Luxilon 4G 16L (1.25)</t>
  </si>
  <si>
    <t>Luxilon Big Banger Timo 17 (1.22)</t>
  </si>
  <si>
    <t>Kirschbaum Pro Line I 17L (1.20)</t>
  </si>
  <si>
    <t>Polyfibre Poly Hightec 18</t>
  </si>
  <si>
    <t>Polyfibre Hightec Premium 17</t>
  </si>
  <si>
    <t>Dunlop Juice 17 (1.26)</t>
  </si>
  <si>
    <t>Head Sonic Pro 17</t>
  </si>
  <si>
    <t>Ashaway MonoGut 17</t>
  </si>
  <si>
    <t>Babolat RPM Team 16 Black</t>
  </si>
  <si>
    <t>Gamma RZR Rx 16</t>
  </si>
  <si>
    <t>Polyfibre Viper 17/1.20</t>
  </si>
  <si>
    <t>Prince Beast XP 16</t>
  </si>
  <si>
    <t>Polyfibre TCS 16L</t>
  </si>
  <si>
    <t>Weiss Cannon Silverstring 1.25</t>
  </si>
  <si>
    <t>Tecnifibre Polyspin 16L</t>
  </si>
  <si>
    <t>Gamma Monoblast 16</t>
  </si>
  <si>
    <t>Gosen Sidewinder 16 (1.31)</t>
  </si>
  <si>
    <t>Prince Twisted 16L</t>
  </si>
  <si>
    <t>Poly Star Energy 16L (1.25)</t>
  </si>
  <si>
    <t>Gamma Zo Tour 17 (1.25)</t>
  </si>
  <si>
    <t>Weiss Cannon Silverstring 120</t>
  </si>
  <si>
    <t>Gamma Zo Black Ice 17 (1.23)</t>
  </si>
  <si>
    <t>Luxilon Adrenaline 16</t>
  </si>
  <si>
    <t>Weiss Cannon MatchPower 1.25</t>
  </si>
  <si>
    <t>Luxilon Big Banger Timo 18 (1.10)</t>
  </si>
  <si>
    <t>Dunlop Juice 16 (1.31)</t>
  </si>
  <si>
    <t>Polyfibre Cobra 17/1.20</t>
  </si>
  <si>
    <t>Luxilon Big Banger XP 15L (1.38)</t>
  </si>
  <si>
    <t>Luxilon M2 Pro 125/16</t>
  </si>
  <si>
    <t>Ashaway MonoGut 16L</t>
  </si>
  <si>
    <t>Luxilon Adrenaline 16L/1.25</t>
  </si>
  <si>
    <t>Yonex Poly Tour Pro Yellow 16 (1.30)</t>
  </si>
  <si>
    <t>Luxilon Savage 16/1.27</t>
  </si>
  <si>
    <t>SuperString Nikita Original 1.25</t>
  </si>
  <si>
    <t>Tourna Big Hitter Blue Rough 16</t>
  </si>
  <si>
    <t>Prince Tour 17</t>
  </si>
  <si>
    <t>Prince Poly Spin 3D</t>
  </si>
  <si>
    <t>Luxilon Adrenaline Rough 16L/1.25</t>
  </si>
  <si>
    <t>Babolat Pro Hurricane 18</t>
  </si>
  <si>
    <t>Luxilon Monotec Super Poly 1.25/16L</t>
  </si>
  <si>
    <t>IsoSpeed Axon Mono 16L</t>
  </si>
  <si>
    <t>Tourna Big Hitter Blue Rough 17</t>
  </si>
  <si>
    <t>Prince Tour 16</t>
  </si>
  <si>
    <t>Babolat Pro Hurricane 17</t>
  </si>
  <si>
    <t>Gamma Zo Power 16L</t>
  </si>
  <si>
    <t>Luxilon Adrenaline 17/1.20</t>
  </si>
  <si>
    <t>Luxilon Monotec Supersense 16L/1.25</t>
  </si>
  <si>
    <t>Tecnifibre X-Code 16</t>
  </si>
  <si>
    <t>SuperString Nikita Soft 16L</t>
  </si>
  <si>
    <t>Prince Tournament Poly 16</t>
  </si>
  <si>
    <t>MSV Hepta-Twist 16</t>
  </si>
  <si>
    <t>Volkl V-Star 18 (1.20)</t>
  </si>
  <si>
    <t>Boris Becker Bomber 17</t>
  </si>
  <si>
    <t>Tecnifibre Black Code 16</t>
  </si>
  <si>
    <t>IsoSpeed Pulse 17</t>
  </si>
  <si>
    <t>Tourna Big Hitter 16</t>
  </si>
  <si>
    <t>Luxilon M2 Plus 130/16</t>
  </si>
  <si>
    <t>Babolat Duralast 17</t>
  </si>
  <si>
    <t>Polyfibre Black Venom 16L (1.25)</t>
  </si>
  <si>
    <t>Yonex Poly Tour Pro Yellow 16L (1.25)</t>
  </si>
  <si>
    <t>Tourna Big Hitter Blue 16</t>
  </si>
  <si>
    <t>Luxilon 4G 16 (1.30)</t>
  </si>
  <si>
    <t>Dunlop Explosive Bite 17 (1.27)</t>
  </si>
  <si>
    <t>Babolat Duralast 16</t>
  </si>
  <si>
    <t>Polyfibre TCS 18 (1.15)</t>
  </si>
  <si>
    <t>Wilson Enduro Tour 18</t>
  </si>
  <si>
    <t>Yonex Poly Tour 130/16</t>
  </si>
  <si>
    <t>Luxilon LXN Smart 16 (1.30)</t>
  </si>
  <si>
    <t>Luxilon 4G S 15</t>
  </si>
  <si>
    <t>Yonex PolyTour REV 16 (1.30)</t>
  </si>
  <si>
    <t>Polyfibre Viper 16L/1.25</t>
  </si>
  <si>
    <t>Babolat Revenge 17</t>
  </si>
  <si>
    <t>One Strings Carbon Tour 17 (1.25)</t>
  </si>
  <si>
    <t>Signum Pro Poly-Plasma Pure 17L (1.18)</t>
  </si>
  <si>
    <t>Babolat Pro Hurricane 16</t>
  </si>
  <si>
    <t>SuperString Pure Control V8 17</t>
  </si>
  <si>
    <t>Super String Tour Players V3 17 (1.20)</t>
  </si>
  <si>
    <t>Dunlop Explosive Tour 16 (1.30)</t>
  </si>
  <si>
    <t>Prince Tournament Poly 17</t>
  </si>
  <si>
    <t>Wilson Enduro Mono 16L</t>
  </si>
  <si>
    <t>Tourna Big Hitter Silver 7 Tour 16 (1.30)</t>
  </si>
  <si>
    <t>Babolat Revenge 16</t>
  </si>
  <si>
    <t>Wilson Enduro Gold 16</t>
  </si>
  <si>
    <t>Luxilon Monotec Zolo 125/16</t>
  </si>
  <si>
    <t>Luxilon Big Banger ALU Power Fluoro 17</t>
  </si>
  <si>
    <t>Kirschbaum Flash 16 (1.30)</t>
  </si>
  <si>
    <t>Dunlop Explosive Speed 17 (1.25)</t>
  </si>
  <si>
    <t>Tecnifibre Ruff Code 17 (1.25)</t>
  </si>
  <si>
    <t>Diadem Solstice Blace 17 (1.20)</t>
  </si>
  <si>
    <t>IsoSpeed Cream 17 (1.28)</t>
  </si>
  <si>
    <t>Prince Diablo Prism 17</t>
  </si>
  <si>
    <t>Polyester</t>
  </si>
  <si>
    <t>Fast</t>
  </si>
  <si>
    <t>Medium</t>
  </si>
  <si>
    <t>Slow</t>
  </si>
  <si>
    <t>라켓이름</t>
  </si>
  <si>
    <t>헤드사이즈</t>
  </si>
  <si>
    <t>스트링패턴</t>
  </si>
  <si>
    <t>강성(RA)</t>
  </si>
  <si>
    <t>상단(mm)</t>
  </si>
  <si>
    <t>중단(mm)</t>
  </si>
  <si>
    <t>하단(mm)</t>
  </si>
  <si>
    <t>스트링무게(g)</t>
  </si>
  <si>
    <t>밸런스(cm)</t>
  </si>
  <si>
    <t>프레임_가중평균(mm)</t>
  </si>
  <si>
    <t>종합파워인덱스(HEAD_CPI맞춤)</t>
  </si>
  <si>
    <t>참고_실제CPI</t>
  </si>
  <si>
    <t>2025 헤드 그래비티 프로</t>
  </si>
  <si>
    <t>18x20</t>
  </si>
  <si>
    <t>그라핀 360+ 스피드 프로</t>
  </si>
  <si>
    <t>2023 헤드 그래비티 투어 100</t>
  </si>
  <si>
    <t>2025 헤드 그래비티 투어 98</t>
  </si>
  <si>
    <t>16x19</t>
  </si>
  <si>
    <t>헤드 그래비티 mp 2023</t>
  </si>
  <si>
    <t>16x20</t>
  </si>
  <si>
    <t>헤드 그래비티 mp 2025</t>
  </si>
  <si>
    <t>헤드 스피드 mp 2024</t>
  </si>
  <si>
    <t>헤드 익스트림 투어 2020</t>
  </si>
  <si>
    <t>헤드 붐 MP 2024</t>
  </si>
  <si>
    <t>구분</t>
  </si>
  <si>
    <t>항목 입력 (노란색 칸)</t>
  </si>
  <si>
    <t>참고 수치1</t>
  </si>
  <si>
    <t>참고 수치2</t>
  </si>
  <si>
    <t>참고 수치3</t>
  </si>
  <si>
    <t>1. 기존 라켓</t>
  </si>
  <si>
    <t>2. 기존 스트링</t>
  </si>
  <si>
    <t>3-1. 기존 작업 텐션 (lbs)</t>
  </si>
  <si>
    <t>← 작업 텐션을 입력하세요</t>
  </si>
  <si>
    <t>(둘 중 하나만 입력해도 됨)</t>
  </si>
  <si>
    <t>3-2. 최고 텐션미터 수치</t>
  </si>
  <si>
    <t>← 텐션미터 수치를 입력하세요</t>
  </si>
  <si>
    <t>(둘 다 입력 시 텐션미터 우선)</t>
  </si>
  <si>
    <t>---</t>
  </si>
  <si>
    <t>4. 바꿀 라켓</t>
  </si>
  <si>
    <t>5. 바꿀 스트링</t>
  </si>
  <si>
    <t>★ 최종 추천 작업 텐션</t>
  </si>
  <si>
    <t>※ v15 대비 라켓 및 스트링 보정치를 20%씩 상향 조정하여 텐션 변화폭을 다시 살짝 넓혔습니다.</t>
  </si>
  <si>
    <t>★ 장비 변경 체감 조언</t>
  </si>
  <si>
    <t>★ 사용자 코멘트/메모</t>
  </si>
  <si>
    <t>여기에 실제 쳐본 느낌이나 다음 작업 시 참고할 사항을 자유롭게 메모하세요.</t>
  </si>
  <si>
    <t>티파이트 305s</t>
    <phoneticPr fontId="2" type="noConversion"/>
  </si>
  <si>
    <t>18x19</t>
    <phoneticPr fontId="2" type="noConversion"/>
  </si>
  <si>
    <t>티파이트 iso 305</t>
    <phoneticPr fontId="2" type="noConversion"/>
  </si>
  <si>
    <t>프린스 ats 텍스트림 투어 100 290</t>
    <phoneticPr fontId="2" type="noConversion"/>
  </si>
  <si>
    <t>16x18</t>
    <phoneticPr fontId="2" type="noConversion"/>
  </si>
  <si>
    <t>헤드 레디컬 프로 2025</t>
    <phoneticPr fontId="2" type="noConversion"/>
  </si>
  <si>
    <t>16x19</t>
    <phoneticPr fontId="2" type="noConversion"/>
  </si>
  <si>
    <t>헤드 레디컬 mp 2025</t>
    <phoneticPr fontId="2" type="noConversion"/>
  </si>
  <si>
    <t>헤드 레디컬 투어 2025</t>
    <phoneticPr fontId="2" type="noConversion"/>
  </si>
  <si>
    <t>18x20</t>
    <phoneticPr fontId="2" type="noConversion"/>
  </si>
  <si>
    <t>헤드 레디컬 팀 2025</t>
    <phoneticPr fontId="2" type="noConversion"/>
  </si>
  <si>
    <t>티파이트 270 2025</t>
    <phoneticPr fontId="2" type="noConversion"/>
  </si>
  <si>
    <t>퓨어드라이브 98 2025</t>
    <phoneticPr fontId="2" type="noConversion"/>
  </si>
  <si>
    <t>16x20</t>
    <phoneticPr fontId="2" type="noConversion"/>
  </si>
  <si>
    <t>퓨어드라이브 2025</t>
    <phoneticPr fontId="2" type="noConversion"/>
  </si>
  <si>
    <t>퓨어에어로 2026</t>
    <phoneticPr fontId="2" type="noConversion"/>
  </si>
  <si>
    <t>퓨어에어로 98 2026</t>
    <phoneticPr fontId="2" type="noConversion"/>
  </si>
  <si>
    <t>퓨어스트라이크 98 카본 그레이</t>
    <phoneticPr fontId="2" type="noConversion"/>
  </si>
  <si>
    <t>퓨어스트라이크 100 카본 그레이</t>
    <phoneticPr fontId="2" type="noConversion"/>
  </si>
  <si>
    <t>던롭 SX300 투어</t>
    <phoneticPr fontId="2" type="noConversion"/>
  </si>
  <si>
    <t>던롭 SX300</t>
    <phoneticPr fontId="2" type="noConversion"/>
  </si>
  <si>
    <t>헤드 스피드 mp 2026</t>
    <phoneticPr fontId="2" type="noConversion"/>
  </si>
  <si>
    <t>헤드 스피드 투어 2026</t>
    <phoneticPr fontId="2" type="noConversion"/>
  </si>
  <si>
    <t>헤드 스피드 프로 2026</t>
    <phoneticPr fontId="2" type="noConversion"/>
  </si>
  <si>
    <t>요넥스 브이코어 98 8세대</t>
    <phoneticPr fontId="2" type="noConversion"/>
  </si>
  <si>
    <t>요넥스 브이코어 100 8세대</t>
    <phoneticPr fontId="2" type="noConversion"/>
  </si>
  <si>
    <t>요넥스 이존 100 2025</t>
    <phoneticPr fontId="2" type="noConversion"/>
  </si>
  <si>
    <t>요넥스 이존 98 2025</t>
    <phoneticPr fontId="2" type="noConversion"/>
  </si>
  <si>
    <t>2024 헤드 스피드 프로</t>
  </si>
  <si>
    <t>윌슨 블레이드 98 18x20 v9</t>
  </si>
  <si>
    <t>요넥스 브이코어 98 (2023)</t>
  </si>
  <si>
    <t>요넥스 이존 98 (2022)</t>
  </si>
  <si>
    <t>바볼랏 퓨어 드라이브 (2021)</t>
  </si>
  <si>
    <t>바볼랏 퓨어 에어로 (2023)</t>
  </si>
  <si>
    <t>윌슨 프로 스태프 97 v14</t>
  </si>
  <si>
    <t>헤드 래디컬 MP (2023)</t>
  </si>
  <si>
    <t>퓨어에어로 98 2023</t>
    <phoneticPr fontId="2" type="noConversion"/>
  </si>
  <si>
    <t>퓨어에어로 100 2023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</si>
</sst>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3"/>
  <sheetViews>
    <sheetView workbookViewId="0"/>
  </sheetViews>
  <sheetFormatPr defaultRowHeight="16.5" x14ac:dyDescent="0.3"/>
  <cols>
    <col min="1" max="1" width="35.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1.23</v>
      </c>
      <c r="C2" t="s">
        <v>480</v>
      </c>
      <c r="D2">
        <v>174.9</v>
      </c>
      <c r="E2">
        <v>47.7</v>
      </c>
      <c r="F2">
        <v>11.9</v>
      </c>
      <c r="G2">
        <v>51</v>
      </c>
      <c r="H2" t="s">
        <v>481</v>
      </c>
    </row>
    <row r="3" spans="1:8" x14ac:dyDescent="0.3">
      <c r="A3" t="s">
        <v>9</v>
      </c>
      <c r="B3">
        <v>1.3</v>
      </c>
      <c r="C3" t="s">
        <v>480</v>
      </c>
      <c r="D3">
        <v>190.9</v>
      </c>
      <c r="E3">
        <v>47.9</v>
      </c>
      <c r="F3">
        <v>11.3</v>
      </c>
      <c r="G3">
        <v>51</v>
      </c>
      <c r="H3" t="s">
        <v>481</v>
      </c>
    </row>
    <row r="4" spans="1:8" x14ac:dyDescent="0.3">
      <c r="A4" t="s">
        <v>10</v>
      </c>
      <c r="B4">
        <v>1.25</v>
      </c>
      <c r="C4" t="s">
        <v>480</v>
      </c>
      <c r="D4">
        <v>224</v>
      </c>
      <c r="E4">
        <v>27</v>
      </c>
      <c r="F4">
        <v>11.1</v>
      </c>
      <c r="G4">
        <v>51</v>
      </c>
      <c r="H4" t="s">
        <v>481</v>
      </c>
    </row>
    <row r="5" spans="1:8" x14ac:dyDescent="0.3">
      <c r="A5" t="s">
        <v>11</v>
      </c>
      <c r="B5">
        <v>1.2</v>
      </c>
      <c r="C5" t="s">
        <v>480</v>
      </c>
      <c r="D5">
        <v>196</v>
      </c>
      <c r="E5">
        <v>35.700000000000003</v>
      </c>
      <c r="F5">
        <v>9.9</v>
      </c>
      <c r="G5">
        <v>51</v>
      </c>
      <c r="H5" t="s">
        <v>481</v>
      </c>
    </row>
    <row r="6" spans="1:8" x14ac:dyDescent="0.3">
      <c r="A6" t="s">
        <v>12</v>
      </c>
      <c r="B6">
        <v>1.25</v>
      </c>
      <c r="C6" t="s">
        <v>480</v>
      </c>
      <c r="D6">
        <v>209.2</v>
      </c>
      <c r="E6">
        <v>28.3</v>
      </c>
      <c r="F6">
        <v>9.8000000000000007</v>
      </c>
      <c r="G6">
        <v>51</v>
      </c>
      <c r="H6" t="s">
        <v>481</v>
      </c>
    </row>
    <row r="7" spans="1:8" x14ac:dyDescent="0.3">
      <c r="A7" t="s">
        <v>13</v>
      </c>
      <c r="B7">
        <v>1.23</v>
      </c>
      <c r="C7" t="s">
        <v>480</v>
      </c>
      <c r="D7">
        <v>165.7</v>
      </c>
      <c r="E7">
        <v>44.4</v>
      </c>
      <c r="F7">
        <v>9.4</v>
      </c>
      <c r="G7">
        <v>51</v>
      </c>
      <c r="H7" t="s">
        <v>481</v>
      </c>
    </row>
    <row r="8" spans="1:8" x14ac:dyDescent="0.3">
      <c r="A8" t="s">
        <v>14</v>
      </c>
      <c r="B8">
        <v>1.2</v>
      </c>
      <c r="C8" t="s">
        <v>480</v>
      </c>
      <c r="D8">
        <v>189.2</v>
      </c>
      <c r="E8">
        <v>31.7</v>
      </c>
      <c r="F8">
        <v>9.3000000000000007</v>
      </c>
      <c r="G8">
        <v>51</v>
      </c>
      <c r="H8" t="s">
        <v>481</v>
      </c>
    </row>
    <row r="9" spans="1:8" x14ac:dyDescent="0.3">
      <c r="A9" t="s">
        <v>15</v>
      </c>
      <c r="B9">
        <v>1.3</v>
      </c>
      <c r="C9" t="s">
        <v>480</v>
      </c>
      <c r="D9">
        <v>242.9</v>
      </c>
      <c r="E9">
        <v>25.5</v>
      </c>
      <c r="F9">
        <v>9.1999999999999993</v>
      </c>
      <c r="G9">
        <v>51</v>
      </c>
      <c r="H9" t="s">
        <v>481</v>
      </c>
    </row>
    <row r="10" spans="1:8" x14ac:dyDescent="0.3">
      <c r="A10" t="s">
        <v>16</v>
      </c>
      <c r="B10">
        <v>1.1499999999999999</v>
      </c>
      <c r="C10" t="s">
        <v>480</v>
      </c>
      <c r="D10">
        <v>188</v>
      </c>
      <c r="E10">
        <v>29.4</v>
      </c>
      <c r="F10">
        <v>9</v>
      </c>
      <c r="G10">
        <v>51</v>
      </c>
      <c r="H10" t="s">
        <v>481</v>
      </c>
    </row>
    <row r="11" spans="1:8" x14ac:dyDescent="0.3">
      <c r="A11" t="s">
        <v>17</v>
      </c>
      <c r="B11">
        <v>1.3</v>
      </c>
      <c r="C11" t="s">
        <v>480</v>
      </c>
      <c r="D11">
        <v>167.4</v>
      </c>
      <c r="E11">
        <v>52.1</v>
      </c>
      <c r="F11">
        <v>8.6999999999999993</v>
      </c>
      <c r="G11">
        <v>51</v>
      </c>
      <c r="H11" t="s">
        <v>481</v>
      </c>
    </row>
    <row r="12" spans="1:8" x14ac:dyDescent="0.3">
      <c r="A12" t="s">
        <v>18</v>
      </c>
      <c r="B12">
        <v>1.3</v>
      </c>
      <c r="C12" t="s">
        <v>480</v>
      </c>
      <c r="D12">
        <v>204.6</v>
      </c>
      <c r="E12">
        <v>40.4</v>
      </c>
      <c r="F12">
        <v>8.6999999999999993</v>
      </c>
      <c r="G12">
        <v>51</v>
      </c>
      <c r="H12" t="s">
        <v>481</v>
      </c>
    </row>
    <row r="13" spans="1:8" x14ac:dyDescent="0.3">
      <c r="A13" t="s">
        <v>19</v>
      </c>
      <c r="B13">
        <v>1.2</v>
      </c>
      <c r="C13" t="s">
        <v>480</v>
      </c>
      <c r="D13">
        <v>196.6</v>
      </c>
      <c r="E13">
        <v>28.5</v>
      </c>
      <c r="F13">
        <v>8.6</v>
      </c>
      <c r="G13">
        <v>51</v>
      </c>
      <c r="H13" t="s">
        <v>481</v>
      </c>
    </row>
    <row r="14" spans="1:8" x14ac:dyDescent="0.3">
      <c r="A14" t="s">
        <v>20</v>
      </c>
      <c r="B14">
        <v>1.27</v>
      </c>
      <c r="C14" t="s">
        <v>480</v>
      </c>
      <c r="D14">
        <v>185.7</v>
      </c>
      <c r="E14">
        <v>43.3</v>
      </c>
      <c r="F14">
        <v>8.6</v>
      </c>
      <c r="G14">
        <v>51</v>
      </c>
      <c r="H14" t="s">
        <v>481</v>
      </c>
    </row>
    <row r="15" spans="1:8" x14ac:dyDescent="0.3">
      <c r="A15" t="s">
        <v>21</v>
      </c>
      <c r="B15">
        <v>1.18</v>
      </c>
      <c r="C15" t="s">
        <v>480</v>
      </c>
      <c r="D15">
        <v>189.7</v>
      </c>
      <c r="E15">
        <v>34</v>
      </c>
      <c r="F15">
        <v>8.5</v>
      </c>
      <c r="G15">
        <v>51</v>
      </c>
      <c r="H15" t="s">
        <v>481</v>
      </c>
    </row>
    <row r="16" spans="1:8" x14ac:dyDescent="0.3">
      <c r="A16" t="s">
        <v>22</v>
      </c>
      <c r="B16">
        <v>1.3</v>
      </c>
      <c r="C16" t="s">
        <v>480</v>
      </c>
      <c r="D16">
        <v>184</v>
      </c>
      <c r="E16">
        <v>38.299999999999997</v>
      </c>
      <c r="F16">
        <v>8.5</v>
      </c>
      <c r="G16">
        <v>51</v>
      </c>
      <c r="H16" t="s">
        <v>481</v>
      </c>
    </row>
    <row r="17" spans="1:8" x14ac:dyDescent="0.3">
      <c r="A17" t="s">
        <v>23</v>
      </c>
      <c r="B17">
        <v>1.3</v>
      </c>
      <c r="C17" t="s">
        <v>480</v>
      </c>
      <c r="D17">
        <v>194.9</v>
      </c>
      <c r="E17">
        <v>43.7</v>
      </c>
      <c r="F17">
        <v>8.3000000000000007</v>
      </c>
      <c r="G17">
        <v>51</v>
      </c>
      <c r="H17" t="s">
        <v>481</v>
      </c>
    </row>
    <row r="18" spans="1:8" x14ac:dyDescent="0.3">
      <c r="A18" t="s">
        <v>24</v>
      </c>
      <c r="B18">
        <v>1.25</v>
      </c>
      <c r="C18" t="s">
        <v>480</v>
      </c>
      <c r="D18">
        <v>194.9</v>
      </c>
      <c r="E18">
        <v>34.5</v>
      </c>
      <c r="F18">
        <v>8.3000000000000007</v>
      </c>
      <c r="G18">
        <v>51</v>
      </c>
      <c r="H18" t="s">
        <v>481</v>
      </c>
    </row>
    <row r="19" spans="1:8" x14ac:dyDescent="0.3">
      <c r="A19" t="s">
        <v>25</v>
      </c>
      <c r="B19">
        <v>1.1000000000000001</v>
      </c>
      <c r="C19" t="s">
        <v>480</v>
      </c>
      <c r="D19">
        <v>192</v>
      </c>
      <c r="E19">
        <v>32.5</v>
      </c>
      <c r="F19">
        <v>8.1999999999999993</v>
      </c>
      <c r="G19">
        <v>51</v>
      </c>
      <c r="H19" t="s">
        <v>482</v>
      </c>
    </row>
    <row r="20" spans="1:8" x14ac:dyDescent="0.3">
      <c r="A20" t="s">
        <v>26</v>
      </c>
      <c r="B20">
        <v>1.25</v>
      </c>
      <c r="C20" t="s">
        <v>480</v>
      </c>
      <c r="D20">
        <v>210.3</v>
      </c>
      <c r="E20">
        <v>34.299999999999997</v>
      </c>
      <c r="F20">
        <v>8.1999999999999993</v>
      </c>
      <c r="G20">
        <v>51</v>
      </c>
      <c r="H20" t="s">
        <v>481</v>
      </c>
    </row>
    <row r="21" spans="1:8" x14ac:dyDescent="0.3">
      <c r="A21" t="s">
        <v>27</v>
      </c>
      <c r="B21">
        <v>1.23</v>
      </c>
      <c r="C21" t="s">
        <v>480</v>
      </c>
      <c r="D21">
        <v>173.2</v>
      </c>
      <c r="E21">
        <v>38.299999999999997</v>
      </c>
      <c r="F21">
        <v>8.1999999999999993</v>
      </c>
      <c r="G21">
        <v>51</v>
      </c>
      <c r="H21" t="s">
        <v>481</v>
      </c>
    </row>
    <row r="22" spans="1:8" x14ac:dyDescent="0.3">
      <c r="A22" t="s">
        <v>28</v>
      </c>
      <c r="B22">
        <v>1.3</v>
      </c>
      <c r="C22" t="s">
        <v>480</v>
      </c>
      <c r="D22">
        <v>209.7</v>
      </c>
      <c r="E22">
        <v>29.5</v>
      </c>
      <c r="F22">
        <v>8.1999999999999993</v>
      </c>
      <c r="G22">
        <v>51</v>
      </c>
      <c r="H22" t="s">
        <v>481</v>
      </c>
    </row>
    <row r="23" spans="1:8" x14ac:dyDescent="0.3">
      <c r="A23" t="s">
        <v>29</v>
      </c>
      <c r="B23">
        <v>1.3</v>
      </c>
      <c r="C23" t="s">
        <v>480</v>
      </c>
      <c r="D23">
        <v>202.9</v>
      </c>
      <c r="E23">
        <v>29.6</v>
      </c>
      <c r="F23">
        <v>8.1</v>
      </c>
      <c r="G23">
        <v>51</v>
      </c>
      <c r="H23" t="s">
        <v>481</v>
      </c>
    </row>
    <row r="24" spans="1:8" x14ac:dyDescent="0.3">
      <c r="A24" t="s">
        <v>30</v>
      </c>
      <c r="B24">
        <v>1.3</v>
      </c>
      <c r="C24" t="s">
        <v>480</v>
      </c>
      <c r="D24">
        <v>188</v>
      </c>
      <c r="E24">
        <v>58.5</v>
      </c>
      <c r="F24">
        <v>8</v>
      </c>
      <c r="G24">
        <v>51</v>
      </c>
      <c r="H24" t="s">
        <v>481</v>
      </c>
    </row>
    <row r="25" spans="1:8" x14ac:dyDescent="0.3">
      <c r="A25" t="s">
        <v>31</v>
      </c>
      <c r="B25">
        <v>1.25</v>
      </c>
      <c r="C25" t="s">
        <v>480</v>
      </c>
      <c r="D25">
        <v>212.6</v>
      </c>
      <c r="E25">
        <v>28.4</v>
      </c>
      <c r="F25">
        <v>8</v>
      </c>
      <c r="G25">
        <v>51</v>
      </c>
      <c r="H25" t="s">
        <v>481</v>
      </c>
    </row>
    <row r="26" spans="1:8" x14ac:dyDescent="0.3">
      <c r="A26" t="s">
        <v>32</v>
      </c>
      <c r="B26">
        <v>1.2</v>
      </c>
      <c r="C26" t="s">
        <v>480</v>
      </c>
      <c r="D26">
        <v>159.4</v>
      </c>
      <c r="E26">
        <v>51.3</v>
      </c>
      <c r="F26">
        <v>7.8</v>
      </c>
      <c r="G26">
        <v>51</v>
      </c>
      <c r="H26" t="s">
        <v>481</v>
      </c>
    </row>
    <row r="27" spans="1:8" x14ac:dyDescent="0.3">
      <c r="A27" t="s">
        <v>33</v>
      </c>
      <c r="B27">
        <v>1.25</v>
      </c>
      <c r="C27" t="s">
        <v>480</v>
      </c>
      <c r="D27">
        <v>232.6</v>
      </c>
      <c r="E27">
        <v>35.700000000000003</v>
      </c>
      <c r="F27">
        <v>7.7</v>
      </c>
      <c r="G27">
        <v>51</v>
      </c>
      <c r="H27" t="s">
        <v>483</v>
      </c>
    </row>
    <row r="28" spans="1:8" x14ac:dyDescent="0.3">
      <c r="A28" t="s">
        <v>34</v>
      </c>
      <c r="B28">
        <v>1.25</v>
      </c>
      <c r="C28" t="s">
        <v>480</v>
      </c>
      <c r="D28">
        <v>173.2</v>
      </c>
      <c r="E28">
        <v>53.5</v>
      </c>
      <c r="F28">
        <v>7.7</v>
      </c>
      <c r="G28">
        <v>51</v>
      </c>
      <c r="H28" t="s">
        <v>481</v>
      </c>
    </row>
    <row r="29" spans="1:8" x14ac:dyDescent="0.3">
      <c r="A29" t="s">
        <v>35</v>
      </c>
      <c r="B29">
        <v>1.31</v>
      </c>
      <c r="C29" t="s">
        <v>480</v>
      </c>
      <c r="D29">
        <v>169.7</v>
      </c>
      <c r="E29">
        <v>55.7</v>
      </c>
      <c r="F29">
        <v>7.7</v>
      </c>
      <c r="G29">
        <v>51</v>
      </c>
      <c r="H29" t="s">
        <v>481</v>
      </c>
    </row>
    <row r="30" spans="1:8" x14ac:dyDescent="0.3">
      <c r="A30" t="s">
        <v>36</v>
      </c>
      <c r="B30">
        <v>1.23</v>
      </c>
      <c r="C30" t="s">
        <v>480</v>
      </c>
      <c r="D30">
        <v>216.6</v>
      </c>
      <c r="E30">
        <v>25</v>
      </c>
      <c r="F30">
        <v>7.7</v>
      </c>
      <c r="G30">
        <v>51</v>
      </c>
      <c r="H30" t="s">
        <v>481</v>
      </c>
    </row>
    <row r="31" spans="1:8" x14ac:dyDescent="0.3">
      <c r="A31" t="s">
        <v>37</v>
      </c>
      <c r="B31">
        <v>1.25</v>
      </c>
      <c r="C31" t="s">
        <v>480</v>
      </c>
      <c r="D31">
        <v>195.5</v>
      </c>
      <c r="E31">
        <v>47.1</v>
      </c>
      <c r="F31">
        <v>7.6</v>
      </c>
      <c r="G31">
        <v>51</v>
      </c>
      <c r="H31" t="s">
        <v>481</v>
      </c>
    </row>
    <row r="32" spans="1:8" x14ac:dyDescent="0.3">
      <c r="A32" t="s">
        <v>38</v>
      </c>
      <c r="B32">
        <v>1.25</v>
      </c>
      <c r="C32" t="s">
        <v>480</v>
      </c>
      <c r="D32">
        <v>203.5</v>
      </c>
      <c r="E32">
        <v>48.3</v>
      </c>
      <c r="F32">
        <v>7.5</v>
      </c>
      <c r="G32">
        <v>51</v>
      </c>
      <c r="H32" t="s">
        <v>481</v>
      </c>
    </row>
    <row r="33" spans="1:8" x14ac:dyDescent="0.3">
      <c r="A33" t="s">
        <v>39</v>
      </c>
      <c r="B33">
        <v>1.3</v>
      </c>
      <c r="C33" t="s">
        <v>480</v>
      </c>
      <c r="D33">
        <v>269.2</v>
      </c>
      <c r="E33">
        <v>46.5</v>
      </c>
      <c r="F33">
        <v>7.5</v>
      </c>
      <c r="G33">
        <v>51</v>
      </c>
      <c r="H33" t="s">
        <v>483</v>
      </c>
    </row>
    <row r="34" spans="1:8" x14ac:dyDescent="0.3">
      <c r="A34" t="s">
        <v>40</v>
      </c>
      <c r="B34">
        <v>1.23</v>
      </c>
      <c r="C34" t="s">
        <v>480</v>
      </c>
      <c r="D34">
        <v>218.9</v>
      </c>
      <c r="E34">
        <v>29.1</v>
      </c>
      <c r="F34">
        <v>7.5</v>
      </c>
      <c r="G34">
        <v>51</v>
      </c>
      <c r="H34" t="s">
        <v>481</v>
      </c>
    </row>
    <row r="35" spans="1:8" x14ac:dyDescent="0.3">
      <c r="A35" t="s">
        <v>41</v>
      </c>
      <c r="B35">
        <v>1.1499999999999999</v>
      </c>
      <c r="C35" t="s">
        <v>480</v>
      </c>
      <c r="D35">
        <v>180</v>
      </c>
      <c r="E35">
        <v>28.3</v>
      </c>
      <c r="F35">
        <v>7.5</v>
      </c>
      <c r="G35">
        <v>51</v>
      </c>
      <c r="H35" t="s">
        <v>481</v>
      </c>
    </row>
    <row r="36" spans="1:8" x14ac:dyDescent="0.3">
      <c r="A36" t="s">
        <v>42</v>
      </c>
      <c r="B36">
        <v>1.2</v>
      </c>
      <c r="C36" t="s">
        <v>480</v>
      </c>
      <c r="D36">
        <v>197.7</v>
      </c>
      <c r="E36">
        <v>53.5</v>
      </c>
      <c r="F36">
        <v>7.4</v>
      </c>
      <c r="G36">
        <v>51</v>
      </c>
      <c r="H36" t="s">
        <v>481</v>
      </c>
    </row>
    <row r="37" spans="1:8" x14ac:dyDescent="0.3">
      <c r="A37" t="s">
        <v>43</v>
      </c>
      <c r="B37">
        <v>1.24</v>
      </c>
      <c r="C37" t="s">
        <v>480</v>
      </c>
      <c r="D37">
        <v>166.9</v>
      </c>
      <c r="E37">
        <v>55.4</v>
      </c>
      <c r="F37">
        <v>7.4</v>
      </c>
      <c r="G37">
        <v>51</v>
      </c>
      <c r="H37" t="s">
        <v>481</v>
      </c>
    </row>
    <row r="38" spans="1:8" x14ac:dyDescent="0.3">
      <c r="A38" t="s">
        <v>44</v>
      </c>
      <c r="B38">
        <v>1.25</v>
      </c>
      <c r="C38" t="s">
        <v>480</v>
      </c>
      <c r="D38">
        <v>212</v>
      </c>
      <c r="E38">
        <v>33.299999999999997</v>
      </c>
      <c r="F38">
        <v>7.4</v>
      </c>
      <c r="G38">
        <v>51</v>
      </c>
      <c r="H38" t="s">
        <v>481</v>
      </c>
    </row>
    <row r="39" spans="1:8" x14ac:dyDescent="0.3">
      <c r="A39" t="s">
        <v>45</v>
      </c>
      <c r="B39">
        <v>1.2</v>
      </c>
      <c r="C39" t="s">
        <v>480</v>
      </c>
      <c r="D39">
        <v>194.3</v>
      </c>
      <c r="E39">
        <v>25.8</v>
      </c>
      <c r="F39">
        <v>7.3</v>
      </c>
      <c r="G39">
        <v>51</v>
      </c>
      <c r="H39" t="s">
        <v>481</v>
      </c>
    </row>
    <row r="40" spans="1:8" x14ac:dyDescent="0.3">
      <c r="A40" t="s">
        <v>46</v>
      </c>
      <c r="B40">
        <v>1.3</v>
      </c>
      <c r="C40" t="s">
        <v>480</v>
      </c>
      <c r="D40">
        <v>226.3</v>
      </c>
      <c r="E40">
        <v>32.299999999999997</v>
      </c>
      <c r="F40">
        <v>7.3</v>
      </c>
      <c r="G40">
        <v>51</v>
      </c>
      <c r="H40" t="s">
        <v>481</v>
      </c>
    </row>
    <row r="41" spans="1:8" x14ac:dyDescent="0.3">
      <c r="A41" t="s">
        <v>47</v>
      </c>
      <c r="B41">
        <v>1.3</v>
      </c>
      <c r="C41" t="s">
        <v>480</v>
      </c>
      <c r="D41">
        <v>225.7</v>
      </c>
      <c r="E41">
        <v>24.8</v>
      </c>
      <c r="F41">
        <v>7.3</v>
      </c>
      <c r="G41">
        <v>51</v>
      </c>
      <c r="H41" t="s">
        <v>481</v>
      </c>
    </row>
    <row r="42" spans="1:8" x14ac:dyDescent="0.3">
      <c r="A42" t="s">
        <v>48</v>
      </c>
      <c r="B42">
        <v>1.25</v>
      </c>
      <c r="C42" t="s">
        <v>480</v>
      </c>
      <c r="D42">
        <v>178.9</v>
      </c>
      <c r="E42">
        <v>31.4</v>
      </c>
      <c r="F42">
        <v>7.3</v>
      </c>
      <c r="G42">
        <v>51</v>
      </c>
      <c r="H42" t="s">
        <v>481</v>
      </c>
    </row>
    <row r="43" spans="1:8" x14ac:dyDescent="0.3">
      <c r="A43" t="s">
        <v>49</v>
      </c>
      <c r="B43">
        <v>1.35</v>
      </c>
      <c r="C43" t="s">
        <v>480</v>
      </c>
      <c r="D43">
        <v>199.5</v>
      </c>
      <c r="E43">
        <v>37</v>
      </c>
      <c r="F43">
        <v>7.3</v>
      </c>
      <c r="G43">
        <v>51</v>
      </c>
      <c r="H43" t="s">
        <v>481</v>
      </c>
    </row>
    <row r="44" spans="1:8" x14ac:dyDescent="0.3">
      <c r="A44" t="s">
        <v>50</v>
      </c>
      <c r="B44">
        <v>1.35</v>
      </c>
      <c r="C44" t="s">
        <v>480</v>
      </c>
      <c r="D44">
        <v>236.6</v>
      </c>
      <c r="E44">
        <v>32.9</v>
      </c>
      <c r="F44">
        <v>7.3</v>
      </c>
      <c r="G44">
        <v>51</v>
      </c>
      <c r="H44" t="s">
        <v>481</v>
      </c>
    </row>
    <row r="45" spans="1:8" x14ac:dyDescent="0.3">
      <c r="A45" t="s">
        <v>51</v>
      </c>
      <c r="B45">
        <v>1.25</v>
      </c>
      <c r="C45" t="s">
        <v>480</v>
      </c>
      <c r="D45">
        <v>214.3</v>
      </c>
      <c r="E45">
        <v>55.6</v>
      </c>
      <c r="F45">
        <v>7.3</v>
      </c>
      <c r="G45">
        <v>51</v>
      </c>
      <c r="H45" t="s">
        <v>483</v>
      </c>
    </row>
    <row r="46" spans="1:8" x14ac:dyDescent="0.3">
      <c r="A46" t="s">
        <v>52</v>
      </c>
      <c r="B46">
        <v>1.25</v>
      </c>
      <c r="C46" t="s">
        <v>480</v>
      </c>
      <c r="D46">
        <v>209.2</v>
      </c>
      <c r="E46">
        <v>27.1</v>
      </c>
      <c r="F46">
        <v>7.3</v>
      </c>
      <c r="G46">
        <v>51</v>
      </c>
      <c r="H46" t="s">
        <v>481</v>
      </c>
    </row>
    <row r="47" spans="1:8" x14ac:dyDescent="0.3">
      <c r="A47" t="s">
        <v>53</v>
      </c>
      <c r="B47">
        <v>1.1499999999999999</v>
      </c>
      <c r="C47" t="s">
        <v>480</v>
      </c>
      <c r="D47">
        <v>172</v>
      </c>
      <c r="E47">
        <v>31.3</v>
      </c>
      <c r="F47">
        <v>7.3</v>
      </c>
      <c r="G47">
        <v>51</v>
      </c>
      <c r="H47" t="s">
        <v>481</v>
      </c>
    </row>
    <row r="48" spans="1:8" x14ac:dyDescent="0.3">
      <c r="A48" t="s">
        <v>54</v>
      </c>
      <c r="B48">
        <v>1.18</v>
      </c>
      <c r="C48" t="s">
        <v>480</v>
      </c>
      <c r="D48">
        <v>185.7</v>
      </c>
      <c r="E48">
        <v>31</v>
      </c>
      <c r="F48">
        <v>7.2</v>
      </c>
      <c r="G48">
        <v>51</v>
      </c>
      <c r="H48" t="s">
        <v>481</v>
      </c>
    </row>
    <row r="49" spans="1:8" x14ac:dyDescent="0.3">
      <c r="A49" t="s">
        <v>55</v>
      </c>
      <c r="B49">
        <v>1.3</v>
      </c>
      <c r="C49" t="s">
        <v>480</v>
      </c>
      <c r="D49">
        <v>215.5</v>
      </c>
      <c r="E49">
        <v>51</v>
      </c>
      <c r="F49">
        <v>7.2</v>
      </c>
      <c r="G49">
        <v>51</v>
      </c>
      <c r="H49" t="s">
        <v>483</v>
      </c>
    </row>
    <row r="50" spans="1:8" x14ac:dyDescent="0.3">
      <c r="A50" t="s">
        <v>56</v>
      </c>
      <c r="B50">
        <v>1.1000000000000001</v>
      </c>
      <c r="C50" t="s">
        <v>480</v>
      </c>
      <c r="D50">
        <v>171.5</v>
      </c>
      <c r="E50">
        <v>32.200000000000003</v>
      </c>
      <c r="F50">
        <v>7.2</v>
      </c>
      <c r="G50">
        <v>51</v>
      </c>
      <c r="H50" t="s">
        <v>481</v>
      </c>
    </row>
    <row r="51" spans="1:8" x14ac:dyDescent="0.3">
      <c r="A51" t="s">
        <v>57</v>
      </c>
      <c r="B51">
        <v>1.25</v>
      </c>
      <c r="C51" t="s">
        <v>480</v>
      </c>
      <c r="D51">
        <v>193.2</v>
      </c>
      <c r="E51">
        <v>34.4</v>
      </c>
      <c r="F51">
        <v>7.2</v>
      </c>
      <c r="G51">
        <v>51</v>
      </c>
      <c r="H51" t="s">
        <v>481</v>
      </c>
    </row>
    <row r="52" spans="1:8" x14ac:dyDescent="0.3">
      <c r="A52" t="s">
        <v>58</v>
      </c>
      <c r="B52">
        <v>1.3</v>
      </c>
      <c r="C52" t="s">
        <v>480</v>
      </c>
      <c r="D52">
        <v>184</v>
      </c>
      <c r="E52">
        <v>45.2</v>
      </c>
      <c r="F52">
        <v>7.2</v>
      </c>
      <c r="G52">
        <v>51</v>
      </c>
      <c r="H52" t="s">
        <v>481</v>
      </c>
    </row>
    <row r="53" spans="1:8" x14ac:dyDescent="0.3">
      <c r="A53" t="s">
        <v>59</v>
      </c>
      <c r="B53">
        <v>1.25</v>
      </c>
      <c r="C53" t="s">
        <v>480</v>
      </c>
      <c r="D53">
        <v>185.7</v>
      </c>
      <c r="E53">
        <v>41.4</v>
      </c>
      <c r="F53">
        <v>7.1</v>
      </c>
      <c r="G53">
        <v>51</v>
      </c>
      <c r="H53" t="s">
        <v>481</v>
      </c>
    </row>
    <row r="54" spans="1:8" x14ac:dyDescent="0.3">
      <c r="A54" t="s">
        <v>60</v>
      </c>
      <c r="B54">
        <v>1.1499999999999999</v>
      </c>
      <c r="C54" t="s">
        <v>480</v>
      </c>
      <c r="D54">
        <v>201.2</v>
      </c>
      <c r="E54">
        <v>47.8</v>
      </c>
      <c r="F54">
        <v>7.1</v>
      </c>
      <c r="G54">
        <v>51</v>
      </c>
      <c r="H54" t="s">
        <v>482</v>
      </c>
    </row>
    <row r="55" spans="1:8" x14ac:dyDescent="0.3">
      <c r="A55" t="s">
        <v>61</v>
      </c>
      <c r="B55">
        <v>1.35</v>
      </c>
      <c r="C55" t="s">
        <v>480</v>
      </c>
      <c r="D55">
        <v>192.6</v>
      </c>
      <c r="E55">
        <v>28</v>
      </c>
      <c r="F55">
        <v>7.1</v>
      </c>
      <c r="G55">
        <v>51</v>
      </c>
      <c r="H55" t="s">
        <v>481</v>
      </c>
    </row>
    <row r="56" spans="1:8" x14ac:dyDescent="0.3">
      <c r="A56" t="s">
        <v>62</v>
      </c>
      <c r="B56">
        <v>1.35</v>
      </c>
      <c r="C56" t="s">
        <v>480</v>
      </c>
      <c r="D56">
        <v>228.6</v>
      </c>
      <c r="E56">
        <v>29.6</v>
      </c>
      <c r="F56">
        <v>7.1</v>
      </c>
      <c r="G56">
        <v>51</v>
      </c>
      <c r="H56" t="s">
        <v>481</v>
      </c>
    </row>
    <row r="57" spans="1:8" x14ac:dyDescent="0.3">
      <c r="A57" t="s">
        <v>63</v>
      </c>
      <c r="B57">
        <v>1.25</v>
      </c>
      <c r="C57" t="s">
        <v>480</v>
      </c>
      <c r="D57">
        <v>217.7</v>
      </c>
      <c r="E57">
        <v>24.6</v>
      </c>
      <c r="F57">
        <v>7.1</v>
      </c>
      <c r="G57">
        <v>51</v>
      </c>
      <c r="H57" t="s">
        <v>481</v>
      </c>
    </row>
    <row r="58" spans="1:8" x14ac:dyDescent="0.3">
      <c r="A58" t="s">
        <v>64</v>
      </c>
      <c r="B58">
        <v>1.25</v>
      </c>
      <c r="C58" t="s">
        <v>480</v>
      </c>
      <c r="D58">
        <v>231.5</v>
      </c>
      <c r="E58">
        <v>21</v>
      </c>
      <c r="F58">
        <v>7.1</v>
      </c>
      <c r="G58">
        <v>51</v>
      </c>
      <c r="H58" t="s">
        <v>481</v>
      </c>
    </row>
    <row r="59" spans="1:8" x14ac:dyDescent="0.3">
      <c r="A59" t="s">
        <v>65</v>
      </c>
      <c r="B59">
        <v>1.3</v>
      </c>
      <c r="C59" t="s">
        <v>480</v>
      </c>
      <c r="D59">
        <v>242.3</v>
      </c>
      <c r="E59">
        <v>25.6</v>
      </c>
      <c r="F59">
        <v>7</v>
      </c>
      <c r="G59">
        <v>51</v>
      </c>
      <c r="H59" t="s">
        <v>482</v>
      </c>
    </row>
    <row r="60" spans="1:8" x14ac:dyDescent="0.3">
      <c r="A60" t="s">
        <v>66</v>
      </c>
      <c r="B60">
        <v>1.3</v>
      </c>
      <c r="C60" t="s">
        <v>480</v>
      </c>
      <c r="D60">
        <v>216</v>
      </c>
      <c r="E60">
        <v>56.9</v>
      </c>
      <c r="F60">
        <v>7</v>
      </c>
      <c r="G60">
        <v>51</v>
      </c>
      <c r="H60" t="s">
        <v>483</v>
      </c>
    </row>
    <row r="61" spans="1:8" x14ac:dyDescent="0.3">
      <c r="A61" t="s">
        <v>67</v>
      </c>
      <c r="B61">
        <v>1.3</v>
      </c>
      <c r="C61" t="s">
        <v>480</v>
      </c>
      <c r="D61">
        <v>185.7</v>
      </c>
      <c r="E61">
        <v>45.6</v>
      </c>
      <c r="F61">
        <v>7</v>
      </c>
      <c r="G61">
        <v>51</v>
      </c>
      <c r="H61" t="s">
        <v>481</v>
      </c>
    </row>
    <row r="62" spans="1:8" x14ac:dyDescent="0.3">
      <c r="A62" t="s">
        <v>68</v>
      </c>
      <c r="B62">
        <v>1.24</v>
      </c>
      <c r="C62" t="s">
        <v>480</v>
      </c>
      <c r="D62">
        <v>184</v>
      </c>
      <c r="E62">
        <v>34.799999999999997</v>
      </c>
      <c r="F62">
        <v>7</v>
      </c>
      <c r="G62">
        <v>51</v>
      </c>
      <c r="H62" t="s">
        <v>481</v>
      </c>
    </row>
    <row r="63" spans="1:8" x14ac:dyDescent="0.3">
      <c r="A63" t="s">
        <v>69</v>
      </c>
      <c r="B63">
        <v>1.25</v>
      </c>
      <c r="C63" t="s">
        <v>480</v>
      </c>
      <c r="D63">
        <v>197.7</v>
      </c>
      <c r="E63">
        <v>43.7</v>
      </c>
      <c r="F63">
        <v>7</v>
      </c>
      <c r="G63">
        <v>51</v>
      </c>
      <c r="H63" t="s">
        <v>481</v>
      </c>
    </row>
    <row r="64" spans="1:8" x14ac:dyDescent="0.3">
      <c r="A64" t="s">
        <v>70</v>
      </c>
      <c r="B64">
        <v>1.3</v>
      </c>
      <c r="C64" t="s">
        <v>480</v>
      </c>
      <c r="D64">
        <v>210.3</v>
      </c>
      <c r="E64">
        <v>38.9</v>
      </c>
      <c r="F64">
        <v>7</v>
      </c>
      <c r="G64">
        <v>51</v>
      </c>
      <c r="H64" t="s">
        <v>481</v>
      </c>
    </row>
    <row r="65" spans="1:8" x14ac:dyDescent="0.3">
      <c r="A65" t="s">
        <v>71</v>
      </c>
      <c r="B65">
        <v>1.3</v>
      </c>
      <c r="C65" t="s">
        <v>480</v>
      </c>
      <c r="D65">
        <v>198.3</v>
      </c>
      <c r="E65">
        <v>34.9</v>
      </c>
      <c r="F65">
        <v>7</v>
      </c>
      <c r="G65">
        <v>51</v>
      </c>
      <c r="H65" t="s">
        <v>481</v>
      </c>
    </row>
    <row r="66" spans="1:8" x14ac:dyDescent="0.3">
      <c r="A66" t="s">
        <v>72</v>
      </c>
      <c r="B66">
        <v>1.25</v>
      </c>
      <c r="C66" t="s">
        <v>480</v>
      </c>
      <c r="D66">
        <v>234.3</v>
      </c>
      <c r="E66">
        <v>35.9</v>
      </c>
      <c r="F66">
        <v>6.9</v>
      </c>
      <c r="G66">
        <v>51</v>
      </c>
      <c r="H66" t="s">
        <v>483</v>
      </c>
    </row>
    <row r="67" spans="1:8" x14ac:dyDescent="0.3">
      <c r="A67" t="s">
        <v>73</v>
      </c>
      <c r="B67">
        <v>1.3</v>
      </c>
      <c r="C67" t="s">
        <v>480</v>
      </c>
      <c r="D67">
        <v>172.6</v>
      </c>
      <c r="E67">
        <v>54.5</v>
      </c>
      <c r="F67">
        <v>6.9</v>
      </c>
      <c r="G67">
        <v>51</v>
      </c>
      <c r="H67" t="s">
        <v>481</v>
      </c>
    </row>
    <row r="68" spans="1:8" x14ac:dyDescent="0.3">
      <c r="A68" t="s">
        <v>74</v>
      </c>
      <c r="B68">
        <v>1.3</v>
      </c>
      <c r="C68" t="s">
        <v>480</v>
      </c>
      <c r="D68">
        <v>184</v>
      </c>
      <c r="E68">
        <v>50.3</v>
      </c>
      <c r="F68">
        <v>6.9</v>
      </c>
      <c r="G68">
        <v>51</v>
      </c>
      <c r="H68" t="s">
        <v>481</v>
      </c>
    </row>
    <row r="69" spans="1:8" x14ac:dyDescent="0.3">
      <c r="A69" t="s">
        <v>75</v>
      </c>
      <c r="B69">
        <v>1.3</v>
      </c>
      <c r="C69" t="s">
        <v>480</v>
      </c>
      <c r="D69">
        <v>242.9</v>
      </c>
      <c r="E69">
        <v>23.3</v>
      </c>
      <c r="F69">
        <v>6.9</v>
      </c>
      <c r="G69">
        <v>51</v>
      </c>
      <c r="H69" t="s">
        <v>481</v>
      </c>
    </row>
    <row r="70" spans="1:8" x14ac:dyDescent="0.3">
      <c r="A70" t="s">
        <v>76</v>
      </c>
      <c r="B70">
        <v>1.25</v>
      </c>
      <c r="C70" t="s">
        <v>480</v>
      </c>
      <c r="D70">
        <v>214.3</v>
      </c>
      <c r="E70">
        <v>42.4</v>
      </c>
      <c r="F70">
        <v>6.8</v>
      </c>
      <c r="G70">
        <v>51</v>
      </c>
      <c r="H70" t="s">
        <v>482</v>
      </c>
    </row>
    <row r="71" spans="1:8" x14ac:dyDescent="0.3">
      <c r="A71" t="s">
        <v>77</v>
      </c>
      <c r="B71">
        <v>1.2</v>
      </c>
      <c r="C71" t="s">
        <v>480</v>
      </c>
      <c r="D71">
        <v>195.5</v>
      </c>
      <c r="E71">
        <v>27.8</v>
      </c>
      <c r="F71">
        <v>6.8</v>
      </c>
      <c r="G71">
        <v>51</v>
      </c>
      <c r="H71" t="s">
        <v>481</v>
      </c>
    </row>
    <row r="72" spans="1:8" x14ac:dyDescent="0.3">
      <c r="A72" t="s">
        <v>78</v>
      </c>
      <c r="B72">
        <v>1.3</v>
      </c>
      <c r="C72" t="s">
        <v>480</v>
      </c>
      <c r="D72">
        <v>209.2</v>
      </c>
      <c r="E72">
        <v>26.3</v>
      </c>
      <c r="F72">
        <v>6.8</v>
      </c>
      <c r="G72">
        <v>51</v>
      </c>
      <c r="H72" t="s">
        <v>481</v>
      </c>
    </row>
    <row r="73" spans="1:8" x14ac:dyDescent="0.3">
      <c r="A73" t="s">
        <v>79</v>
      </c>
      <c r="B73">
        <v>1.3</v>
      </c>
      <c r="C73" t="s">
        <v>480</v>
      </c>
      <c r="D73">
        <v>202.9</v>
      </c>
      <c r="E73">
        <v>47.1</v>
      </c>
      <c r="F73">
        <v>6.7</v>
      </c>
      <c r="G73">
        <v>51</v>
      </c>
      <c r="H73" t="s">
        <v>481</v>
      </c>
    </row>
    <row r="74" spans="1:8" x14ac:dyDescent="0.3">
      <c r="A74" t="s">
        <v>80</v>
      </c>
      <c r="B74">
        <v>1.25</v>
      </c>
      <c r="C74" t="s">
        <v>480</v>
      </c>
      <c r="D74">
        <v>248.6</v>
      </c>
      <c r="E74">
        <v>34.700000000000003</v>
      </c>
      <c r="F74">
        <v>6.7</v>
      </c>
      <c r="G74">
        <v>51</v>
      </c>
      <c r="H74" t="s">
        <v>482</v>
      </c>
    </row>
    <row r="75" spans="1:8" x14ac:dyDescent="0.3">
      <c r="A75" t="s">
        <v>81</v>
      </c>
      <c r="B75">
        <v>1.25</v>
      </c>
      <c r="C75" t="s">
        <v>480</v>
      </c>
      <c r="D75">
        <v>249.7</v>
      </c>
      <c r="E75">
        <v>25</v>
      </c>
      <c r="F75">
        <v>6.7</v>
      </c>
      <c r="G75">
        <v>51</v>
      </c>
      <c r="H75" t="s">
        <v>483</v>
      </c>
    </row>
    <row r="76" spans="1:8" x14ac:dyDescent="0.3">
      <c r="A76" t="s">
        <v>82</v>
      </c>
      <c r="B76">
        <v>1.28</v>
      </c>
      <c r="C76" t="s">
        <v>480</v>
      </c>
      <c r="D76">
        <v>197.7</v>
      </c>
      <c r="E76">
        <v>37.6</v>
      </c>
      <c r="F76">
        <v>6.7</v>
      </c>
      <c r="G76">
        <v>51</v>
      </c>
      <c r="H76" t="s">
        <v>481</v>
      </c>
    </row>
    <row r="77" spans="1:8" x14ac:dyDescent="0.3">
      <c r="A77" t="s">
        <v>83</v>
      </c>
      <c r="B77">
        <v>1.25</v>
      </c>
      <c r="C77" t="s">
        <v>480</v>
      </c>
      <c r="D77">
        <v>189.2</v>
      </c>
      <c r="E77">
        <v>36.1</v>
      </c>
      <c r="F77">
        <v>6.7</v>
      </c>
      <c r="G77">
        <v>51</v>
      </c>
      <c r="H77" t="s">
        <v>481</v>
      </c>
    </row>
    <row r="78" spans="1:8" x14ac:dyDescent="0.3">
      <c r="A78" t="s">
        <v>84</v>
      </c>
      <c r="B78">
        <v>1.25</v>
      </c>
      <c r="C78" t="s">
        <v>480</v>
      </c>
      <c r="D78">
        <v>218.3</v>
      </c>
      <c r="E78">
        <v>29.4</v>
      </c>
      <c r="F78">
        <v>6.7</v>
      </c>
      <c r="G78">
        <v>51</v>
      </c>
      <c r="H78" t="s">
        <v>481</v>
      </c>
    </row>
    <row r="79" spans="1:8" x14ac:dyDescent="0.3">
      <c r="A79" t="s">
        <v>85</v>
      </c>
      <c r="B79">
        <v>1.35</v>
      </c>
      <c r="C79" t="s">
        <v>480</v>
      </c>
      <c r="D79">
        <v>213.2</v>
      </c>
      <c r="E79">
        <v>48.6</v>
      </c>
      <c r="F79">
        <v>6.7</v>
      </c>
      <c r="G79">
        <v>51</v>
      </c>
      <c r="H79" t="s">
        <v>481</v>
      </c>
    </row>
    <row r="80" spans="1:8" x14ac:dyDescent="0.3">
      <c r="A80" t="s">
        <v>86</v>
      </c>
      <c r="B80">
        <v>1.2</v>
      </c>
      <c r="C80" t="s">
        <v>480</v>
      </c>
      <c r="D80">
        <v>188.6</v>
      </c>
      <c r="E80">
        <v>50</v>
      </c>
      <c r="F80">
        <v>6.6</v>
      </c>
      <c r="G80">
        <v>51</v>
      </c>
      <c r="H80" t="s">
        <v>481</v>
      </c>
    </row>
    <row r="81" spans="1:8" x14ac:dyDescent="0.3">
      <c r="A81" t="s">
        <v>87</v>
      </c>
      <c r="B81">
        <v>1.3</v>
      </c>
      <c r="C81" t="s">
        <v>480</v>
      </c>
      <c r="D81">
        <v>220</v>
      </c>
      <c r="E81">
        <v>26.7</v>
      </c>
      <c r="F81">
        <v>6.6</v>
      </c>
      <c r="G81">
        <v>51</v>
      </c>
      <c r="H81" t="s">
        <v>481</v>
      </c>
    </row>
    <row r="82" spans="1:8" x14ac:dyDescent="0.3">
      <c r="A82" t="s">
        <v>88</v>
      </c>
      <c r="B82">
        <v>1.25</v>
      </c>
      <c r="C82" t="s">
        <v>480</v>
      </c>
      <c r="D82">
        <v>228.6</v>
      </c>
      <c r="E82">
        <v>43.8</v>
      </c>
      <c r="F82">
        <v>6.6</v>
      </c>
      <c r="G82">
        <v>51</v>
      </c>
      <c r="H82" t="s">
        <v>483</v>
      </c>
    </row>
    <row r="83" spans="1:8" x14ac:dyDescent="0.3">
      <c r="A83" t="s">
        <v>89</v>
      </c>
      <c r="B83">
        <v>1.1499999999999999</v>
      </c>
      <c r="C83" t="s">
        <v>480</v>
      </c>
      <c r="D83">
        <v>186.3</v>
      </c>
      <c r="E83">
        <v>26.9</v>
      </c>
      <c r="F83">
        <v>6.6</v>
      </c>
      <c r="G83">
        <v>51</v>
      </c>
      <c r="H83" t="s">
        <v>481</v>
      </c>
    </row>
    <row r="84" spans="1:8" x14ac:dyDescent="0.3">
      <c r="A84" t="s">
        <v>90</v>
      </c>
      <c r="B84">
        <v>1.26</v>
      </c>
      <c r="C84" t="s">
        <v>480</v>
      </c>
      <c r="D84">
        <v>178.3</v>
      </c>
      <c r="E84">
        <v>50</v>
      </c>
      <c r="F84">
        <v>6.6</v>
      </c>
      <c r="G84">
        <v>51</v>
      </c>
      <c r="H84" t="s">
        <v>481</v>
      </c>
    </row>
    <row r="85" spans="1:8" x14ac:dyDescent="0.3">
      <c r="A85" t="s">
        <v>91</v>
      </c>
      <c r="B85">
        <v>1.1000000000000001</v>
      </c>
      <c r="C85" t="s">
        <v>480</v>
      </c>
      <c r="D85">
        <v>166.9</v>
      </c>
      <c r="E85">
        <v>35.700000000000003</v>
      </c>
      <c r="F85">
        <v>6.5</v>
      </c>
      <c r="G85">
        <v>51</v>
      </c>
      <c r="H85" t="s">
        <v>481</v>
      </c>
    </row>
    <row r="86" spans="1:8" x14ac:dyDescent="0.3">
      <c r="A86" t="s">
        <v>92</v>
      </c>
      <c r="B86">
        <v>1.18</v>
      </c>
      <c r="C86" t="s">
        <v>480</v>
      </c>
      <c r="D86">
        <v>273.2</v>
      </c>
      <c r="E86">
        <v>27.1</v>
      </c>
      <c r="F86">
        <v>6.5</v>
      </c>
      <c r="G86">
        <v>51</v>
      </c>
      <c r="H86" t="s">
        <v>483</v>
      </c>
    </row>
    <row r="87" spans="1:8" x14ac:dyDescent="0.3">
      <c r="A87" t="s">
        <v>93</v>
      </c>
      <c r="B87">
        <v>1.25</v>
      </c>
      <c r="C87" t="s">
        <v>480</v>
      </c>
      <c r="D87">
        <v>208</v>
      </c>
      <c r="E87">
        <v>28.8</v>
      </c>
      <c r="F87">
        <v>6.5</v>
      </c>
      <c r="G87">
        <v>51</v>
      </c>
      <c r="H87" t="s">
        <v>481</v>
      </c>
    </row>
    <row r="88" spans="1:8" x14ac:dyDescent="0.3">
      <c r="A88" t="s">
        <v>94</v>
      </c>
      <c r="B88">
        <v>1.25</v>
      </c>
      <c r="C88" t="s">
        <v>480</v>
      </c>
      <c r="D88">
        <v>209.2</v>
      </c>
      <c r="E88">
        <v>39.6</v>
      </c>
      <c r="F88">
        <v>6.5</v>
      </c>
      <c r="G88">
        <v>51</v>
      </c>
      <c r="H88" t="s">
        <v>481</v>
      </c>
    </row>
    <row r="89" spans="1:8" x14ac:dyDescent="0.3">
      <c r="A89" t="s">
        <v>95</v>
      </c>
      <c r="B89">
        <v>1.1499999999999999</v>
      </c>
      <c r="C89" t="s">
        <v>480</v>
      </c>
      <c r="D89">
        <v>174.3</v>
      </c>
      <c r="E89">
        <v>33.1</v>
      </c>
      <c r="F89">
        <v>6.5</v>
      </c>
      <c r="G89">
        <v>51</v>
      </c>
      <c r="H89" t="s">
        <v>481</v>
      </c>
    </row>
    <row r="90" spans="1:8" x14ac:dyDescent="0.3">
      <c r="A90" t="s">
        <v>96</v>
      </c>
      <c r="B90">
        <v>1.2</v>
      </c>
      <c r="C90" t="s">
        <v>480</v>
      </c>
      <c r="D90">
        <v>235.5</v>
      </c>
      <c r="E90">
        <v>28.8</v>
      </c>
      <c r="F90">
        <v>6.5</v>
      </c>
      <c r="G90">
        <v>51</v>
      </c>
      <c r="H90" t="s">
        <v>481</v>
      </c>
    </row>
    <row r="91" spans="1:8" x14ac:dyDescent="0.3">
      <c r="A91" t="s">
        <v>97</v>
      </c>
      <c r="B91">
        <v>1.3</v>
      </c>
      <c r="C91" t="s">
        <v>480</v>
      </c>
      <c r="D91">
        <v>230.3</v>
      </c>
      <c r="E91">
        <v>28.5</v>
      </c>
      <c r="F91">
        <v>6.4</v>
      </c>
      <c r="G91">
        <v>51</v>
      </c>
      <c r="H91" t="s">
        <v>481</v>
      </c>
    </row>
    <row r="92" spans="1:8" x14ac:dyDescent="0.3">
      <c r="A92" t="s">
        <v>98</v>
      </c>
      <c r="B92">
        <v>1.29</v>
      </c>
      <c r="C92" t="s">
        <v>480</v>
      </c>
      <c r="D92">
        <v>200</v>
      </c>
      <c r="E92">
        <v>31.4</v>
      </c>
      <c r="F92">
        <v>6.4</v>
      </c>
      <c r="G92">
        <v>51</v>
      </c>
      <c r="H92" t="s">
        <v>481</v>
      </c>
    </row>
    <row r="93" spans="1:8" x14ac:dyDescent="0.3">
      <c r="A93" t="s">
        <v>99</v>
      </c>
      <c r="B93">
        <v>1.3</v>
      </c>
      <c r="C93" t="s">
        <v>480</v>
      </c>
      <c r="D93">
        <v>215.5</v>
      </c>
      <c r="E93">
        <v>47.4</v>
      </c>
      <c r="F93">
        <v>6.4</v>
      </c>
      <c r="G93">
        <v>51</v>
      </c>
      <c r="H93" t="s">
        <v>481</v>
      </c>
    </row>
    <row r="94" spans="1:8" x14ac:dyDescent="0.3">
      <c r="A94" t="s">
        <v>100</v>
      </c>
      <c r="B94">
        <v>1.1499999999999999</v>
      </c>
      <c r="C94" t="s">
        <v>480</v>
      </c>
      <c r="D94">
        <v>198.3</v>
      </c>
      <c r="E94">
        <v>37.799999999999997</v>
      </c>
      <c r="F94">
        <v>6.4</v>
      </c>
      <c r="G94">
        <v>51</v>
      </c>
      <c r="H94" t="s">
        <v>482</v>
      </c>
    </row>
    <row r="95" spans="1:8" x14ac:dyDescent="0.3">
      <c r="A95" t="s">
        <v>101</v>
      </c>
      <c r="B95">
        <v>1.18</v>
      </c>
      <c r="C95" t="s">
        <v>480</v>
      </c>
      <c r="D95">
        <v>188.6</v>
      </c>
      <c r="E95">
        <v>30.4</v>
      </c>
      <c r="F95">
        <v>6.4</v>
      </c>
      <c r="G95">
        <v>51</v>
      </c>
      <c r="H95" t="s">
        <v>481</v>
      </c>
    </row>
    <row r="96" spans="1:8" x14ac:dyDescent="0.3">
      <c r="A96" t="s">
        <v>102</v>
      </c>
      <c r="B96">
        <v>1.28</v>
      </c>
      <c r="C96" t="s">
        <v>480</v>
      </c>
      <c r="D96">
        <v>180.6</v>
      </c>
      <c r="E96">
        <v>51.5</v>
      </c>
      <c r="F96">
        <v>6.4</v>
      </c>
      <c r="G96">
        <v>51</v>
      </c>
      <c r="H96" t="s">
        <v>481</v>
      </c>
    </row>
    <row r="97" spans="1:8" x14ac:dyDescent="0.3">
      <c r="A97" t="s">
        <v>103</v>
      </c>
      <c r="B97">
        <v>1.3</v>
      </c>
      <c r="C97" t="s">
        <v>480</v>
      </c>
      <c r="D97">
        <v>222.3</v>
      </c>
      <c r="E97">
        <v>22.2</v>
      </c>
      <c r="F97">
        <v>6.4</v>
      </c>
      <c r="G97">
        <v>51</v>
      </c>
      <c r="H97" t="s">
        <v>481</v>
      </c>
    </row>
    <row r="98" spans="1:8" x14ac:dyDescent="0.3">
      <c r="A98" t="s">
        <v>104</v>
      </c>
      <c r="B98">
        <v>1.4</v>
      </c>
      <c r="C98" t="s">
        <v>480</v>
      </c>
      <c r="D98">
        <v>219.5</v>
      </c>
      <c r="E98">
        <v>32.9</v>
      </c>
      <c r="F98">
        <v>6.3</v>
      </c>
      <c r="G98">
        <v>51</v>
      </c>
      <c r="H98" t="s">
        <v>481</v>
      </c>
    </row>
    <row r="99" spans="1:8" x14ac:dyDescent="0.3">
      <c r="A99" t="s">
        <v>105</v>
      </c>
      <c r="B99">
        <v>1.25</v>
      </c>
      <c r="C99" t="s">
        <v>480</v>
      </c>
      <c r="D99">
        <v>274.3</v>
      </c>
      <c r="E99">
        <v>28.9</v>
      </c>
      <c r="F99">
        <v>6.3</v>
      </c>
      <c r="G99">
        <v>51</v>
      </c>
      <c r="H99" t="s">
        <v>483</v>
      </c>
    </row>
    <row r="100" spans="1:8" x14ac:dyDescent="0.3">
      <c r="A100" t="s">
        <v>106</v>
      </c>
      <c r="B100">
        <v>1.1599999999999999</v>
      </c>
      <c r="C100" t="s">
        <v>480</v>
      </c>
      <c r="D100">
        <v>195.5</v>
      </c>
      <c r="E100">
        <v>28.7</v>
      </c>
      <c r="F100">
        <v>6.3</v>
      </c>
      <c r="G100">
        <v>51</v>
      </c>
      <c r="H100" t="s">
        <v>481</v>
      </c>
    </row>
    <row r="101" spans="1:8" x14ac:dyDescent="0.3">
      <c r="A101" t="s">
        <v>107</v>
      </c>
      <c r="B101">
        <v>1.2</v>
      </c>
      <c r="C101" t="s">
        <v>480</v>
      </c>
      <c r="D101">
        <v>229.7</v>
      </c>
      <c r="E101">
        <v>42.3</v>
      </c>
      <c r="F101">
        <v>6.3</v>
      </c>
      <c r="G101">
        <v>51</v>
      </c>
      <c r="H101" t="s">
        <v>483</v>
      </c>
    </row>
    <row r="102" spans="1:8" x14ac:dyDescent="0.3">
      <c r="A102" t="s">
        <v>108</v>
      </c>
      <c r="B102">
        <v>1.2</v>
      </c>
      <c r="C102" t="s">
        <v>480</v>
      </c>
      <c r="D102">
        <v>194.3</v>
      </c>
      <c r="E102">
        <v>28.9</v>
      </c>
      <c r="F102">
        <v>6.3</v>
      </c>
      <c r="G102">
        <v>51</v>
      </c>
      <c r="H102" t="s">
        <v>481</v>
      </c>
    </row>
    <row r="103" spans="1:8" x14ac:dyDescent="0.3">
      <c r="A103" t="s">
        <v>109</v>
      </c>
      <c r="B103">
        <v>1.2</v>
      </c>
      <c r="C103" t="s">
        <v>480</v>
      </c>
      <c r="D103">
        <v>234.3</v>
      </c>
      <c r="E103">
        <v>47.9</v>
      </c>
      <c r="F103">
        <v>6.3</v>
      </c>
      <c r="G103">
        <v>51</v>
      </c>
      <c r="H103" t="s">
        <v>483</v>
      </c>
    </row>
    <row r="104" spans="1:8" x14ac:dyDescent="0.3">
      <c r="A104" t="s">
        <v>110</v>
      </c>
      <c r="B104">
        <v>1.2</v>
      </c>
      <c r="C104" t="s">
        <v>480</v>
      </c>
      <c r="D104">
        <v>174.9</v>
      </c>
      <c r="E104">
        <v>45.6</v>
      </c>
      <c r="F104">
        <v>6.3</v>
      </c>
      <c r="G104">
        <v>51</v>
      </c>
      <c r="H104" t="s">
        <v>481</v>
      </c>
    </row>
    <row r="105" spans="1:8" x14ac:dyDescent="0.3">
      <c r="A105" t="s">
        <v>111</v>
      </c>
      <c r="B105">
        <v>1.22</v>
      </c>
      <c r="C105" t="s">
        <v>480</v>
      </c>
      <c r="D105">
        <v>197.7</v>
      </c>
      <c r="E105">
        <v>32.6</v>
      </c>
      <c r="F105">
        <v>6.3</v>
      </c>
      <c r="G105">
        <v>51</v>
      </c>
      <c r="H105" t="s">
        <v>481</v>
      </c>
    </row>
    <row r="106" spans="1:8" x14ac:dyDescent="0.3">
      <c r="A106" t="s">
        <v>112</v>
      </c>
      <c r="B106">
        <v>1.24</v>
      </c>
      <c r="C106" t="s">
        <v>480</v>
      </c>
      <c r="D106">
        <v>201.7</v>
      </c>
      <c r="E106">
        <v>25.7</v>
      </c>
      <c r="F106">
        <v>6.3</v>
      </c>
      <c r="G106">
        <v>51</v>
      </c>
      <c r="H106" t="s">
        <v>481</v>
      </c>
    </row>
    <row r="107" spans="1:8" x14ac:dyDescent="0.3">
      <c r="A107" t="s">
        <v>113</v>
      </c>
      <c r="B107">
        <v>1.25</v>
      </c>
      <c r="C107" t="s">
        <v>480</v>
      </c>
      <c r="D107">
        <v>213.7</v>
      </c>
      <c r="E107">
        <v>27.2</v>
      </c>
      <c r="F107">
        <v>6.3</v>
      </c>
      <c r="G107">
        <v>51</v>
      </c>
      <c r="H107" t="s">
        <v>481</v>
      </c>
    </row>
    <row r="108" spans="1:8" x14ac:dyDescent="0.3">
      <c r="A108" t="s">
        <v>114</v>
      </c>
      <c r="B108">
        <v>1.23</v>
      </c>
      <c r="C108" t="s">
        <v>480</v>
      </c>
      <c r="D108">
        <v>177.7</v>
      </c>
      <c r="E108">
        <v>42.2</v>
      </c>
      <c r="F108">
        <v>6.2</v>
      </c>
      <c r="G108">
        <v>51</v>
      </c>
      <c r="H108" t="s">
        <v>481</v>
      </c>
    </row>
    <row r="109" spans="1:8" x14ac:dyDescent="0.3">
      <c r="A109" t="s">
        <v>115</v>
      </c>
      <c r="B109">
        <v>1.25</v>
      </c>
      <c r="C109" t="s">
        <v>480</v>
      </c>
      <c r="D109">
        <v>205.2</v>
      </c>
      <c r="E109">
        <v>47.6</v>
      </c>
      <c r="F109">
        <v>6.2</v>
      </c>
      <c r="G109">
        <v>51</v>
      </c>
      <c r="H109" t="s">
        <v>482</v>
      </c>
    </row>
    <row r="110" spans="1:8" x14ac:dyDescent="0.3">
      <c r="A110" t="s">
        <v>116</v>
      </c>
      <c r="B110">
        <v>1.3</v>
      </c>
      <c r="C110" t="s">
        <v>480</v>
      </c>
      <c r="D110">
        <v>221.7</v>
      </c>
      <c r="E110">
        <v>31.3</v>
      </c>
      <c r="F110">
        <v>6.2</v>
      </c>
      <c r="G110">
        <v>51</v>
      </c>
      <c r="H110" t="s">
        <v>481</v>
      </c>
    </row>
    <row r="111" spans="1:8" x14ac:dyDescent="0.3">
      <c r="A111" t="s">
        <v>117</v>
      </c>
      <c r="B111">
        <v>1.25</v>
      </c>
      <c r="C111" t="s">
        <v>480</v>
      </c>
      <c r="D111">
        <v>162.30000000000001</v>
      </c>
      <c r="E111">
        <v>60.8</v>
      </c>
      <c r="F111">
        <v>6.2</v>
      </c>
      <c r="G111">
        <v>51</v>
      </c>
      <c r="H111" t="s">
        <v>481</v>
      </c>
    </row>
    <row r="112" spans="1:8" x14ac:dyDescent="0.3">
      <c r="A112" t="s">
        <v>118</v>
      </c>
      <c r="B112">
        <v>1.3</v>
      </c>
      <c r="C112" t="s">
        <v>480</v>
      </c>
      <c r="D112">
        <v>261.2</v>
      </c>
      <c r="E112">
        <v>47.3</v>
      </c>
      <c r="F112">
        <v>6.2</v>
      </c>
      <c r="G112">
        <v>51</v>
      </c>
      <c r="H112" t="s">
        <v>483</v>
      </c>
    </row>
    <row r="113" spans="1:8" x14ac:dyDescent="0.3">
      <c r="A113" t="s">
        <v>119</v>
      </c>
      <c r="B113">
        <v>1.29</v>
      </c>
      <c r="C113" t="s">
        <v>480</v>
      </c>
      <c r="D113">
        <v>207.5</v>
      </c>
      <c r="E113">
        <v>36.1</v>
      </c>
      <c r="F113">
        <v>6.2</v>
      </c>
      <c r="G113">
        <v>51</v>
      </c>
      <c r="H113" t="s">
        <v>481</v>
      </c>
    </row>
    <row r="114" spans="1:8" x14ac:dyDescent="0.3">
      <c r="A114" t="s">
        <v>120</v>
      </c>
      <c r="B114">
        <v>1.24</v>
      </c>
      <c r="C114" t="s">
        <v>480</v>
      </c>
      <c r="D114">
        <v>224.6</v>
      </c>
      <c r="E114">
        <v>25.2</v>
      </c>
      <c r="F114">
        <v>6.2</v>
      </c>
      <c r="G114">
        <v>51</v>
      </c>
      <c r="H114" t="s">
        <v>481</v>
      </c>
    </row>
    <row r="115" spans="1:8" x14ac:dyDescent="0.3">
      <c r="A115" t="s">
        <v>121</v>
      </c>
      <c r="B115">
        <v>1.2</v>
      </c>
      <c r="C115" t="s">
        <v>480</v>
      </c>
      <c r="D115">
        <v>190.3</v>
      </c>
      <c r="E115">
        <v>31.5</v>
      </c>
      <c r="F115">
        <v>6.2</v>
      </c>
      <c r="G115">
        <v>51</v>
      </c>
      <c r="H115" t="s">
        <v>481</v>
      </c>
    </row>
    <row r="116" spans="1:8" x14ac:dyDescent="0.3">
      <c r="A116" t="s">
        <v>122</v>
      </c>
      <c r="B116">
        <v>1.3</v>
      </c>
      <c r="C116" t="s">
        <v>480</v>
      </c>
      <c r="D116">
        <v>250.9</v>
      </c>
      <c r="E116">
        <v>48.1</v>
      </c>
      <c r="F116">
        <v>6.1</v>
      </c>
      <c r="G116">
        <v>51</v>
      </c>
      <c r="H116" t="s">
        <v>483</v>
      </c>
    </row>
    <row r="117" spans="1:8" x14ac:dyDescent="0.3">
      <c r="A117" t="s">
        <v>123</v>
      </c>
      <c r="B117">
        <v>1.32</v>
      </c>
      <c r="C117" t="s">
        <v>480</v>
      </c>
      <c r="D117">
        <v>210.3</v>
      </c>
      <c r="E117">
        <v>29.5</v>
      </c>
      <c r="F117">
        <v>6.1</v>
      </c>
      <c r="G117">
        <v>51</v>
      </c>
      <c r="H117" t="s">
        <v>481</v>
      </c>
    </row>
    <row r="118" spans="1:8" x14ac:dyDescent="0.3">
      <c r="A118" t="s">
        <v>124</v>
      </c>
      <c r="B118">
        <v>1.2</v>
      </c>
      <c r="C118" t="s">
        <v>480</v>
      </c>
      <c r="D118">
        <v>226.3</v>
      </c>
      <c r="E118">
        <v>21.8</v>
      </c>
      <c r="F118">
        <v>6.1</v>
      </c>
      <c r="G118">
        <v>51</v>
      </c>
      <c r="H118" t="s">
        <v>481</v>
      </c>
    </row>
    <row r="119" spans="1:8" x14ac:dyDescent="0.3">
      <c r="A119" t="s">
        <v>125</v>
      </c>
      <c r="B119">
        <v>1.2</v>
      </c>
      <c r="C119" t="s">
        <v>480</v>
      </c>
      <c r="D119">
        <v>252</v>
      </c>
      <c r="E119">
        <v>24.8</v>
      </c>
      <c r="F119">
        <v>6.1</v>
      </c>
      <c r="G119">
        <v>51</v>
      </c>
      <c r="H119" t="s">
        <v>482</v>
      </c>
    </row>
    <row r="120" spans="1:8" x14ac:dyDescent="0.3">
      <c r="A120" t="s">
        <v>126</v>
      </c>
      <c r="B120">
        <v>1.3</v>
      </c>
      <c r="C120" t="s">
        <v>480</v>
      </c>
      <c r="D120">
        <v>228.6</v>
      </c>
      <c r="E120">
        <v>30.5</v>
      </c>
      <c r="F120">
        <v>6.1</v>
      </c>
      <c r="G120">
        <v>51</v>
      </c>
      <c r="H120" t="s">
        <v>481</v>
      </c>
    </row>
    <row r="121" spans="1:8" x14ac:dyDescent="0.3">
      <c r="A121" t="s">
        <v>127</v>
      </c>
      <c r="B121">
        <v>1.35</v>
      </c>
      <c r="C121" t="s">
        <v>480</v>
      </c>
      <c r="D121">
        <v>192</v>
      </c>
      <c r="E121">
        <v>41.6</v>
      </c>
      <c r="F121">
        <v>6.1</v>
      </c>
      <c r="G121">
        <v>51</v>
      </c>
      <c r="H121" t="s">
        <v>481</v>
      </c>
    </row>
    <row r="122" spans="1:8" x14ac:dyDescent="0.3">
      <c r="A122" t="s">
        <v>128</v>
      </c>
      <c r="B122">
        <v>1.25</v>
      </c>
      <c r="C122" t="s">
        <v>480</v>
      </c>
      <c r="D122">
        <v>199.5</v>
      </c>
      <c r="E122">
        <v>52.3</v>
      </c>
      <c r="F122">
        <v>6.1</v>
      </c>
      <c r="G122">
        <v>51</v>
      </c>
      <c r="H122" t="s">
        <v>482</v>
      </c>
    </row>
    <row r="123" spans="1:8" x14ac:dyDescent="0.3">
      <c r="A123" t="s">
        <v>129</v>
      </c>
      <c r="B123">
        <v>1.28</v>
      </c>
      <c r="C123" t="s">
        <v>480</v>
      </c>
      <c r="D123">
        <v>200</v>
      </c>
      <c r="E123">
        <v>33.700000000000003</v>
      </c>
      <c r="F123">
        <v>6.1</v>
      </c>
      <c r="G123">
        <v>51</v>
      </c>
      <c r="H123" t="s">
        <v>481</v>
      </c>
    </row>
    <row r="124" spans="1:8" x14ac:dyDescent="0.3">
      <c r="A124" t="s">
        <v>130</v>
      </c>
      <c r="B124">
        <v>1.2</v>
      </c>
      <c r="C124" t="s">
        <v>480</v>
      </c>
      <c r="D124">
        <v>194.9</v>
      </c>
      <c r="E124">
        <v>25.7</v>
      </c>
      <c r="F124">
        <v>6.1</v>
      </c>
      <c r="G124">
        <v>51</v>
      </c>
      <c r="H124" t="s">
        <v>481</v>
      </c>
    </row>
    <row r="125" spans="1:8" x14ac:dyDescent="0.3">
      <c r="A125" t="s">
        <v>131</v>
      </c>
      <c r="B125">
        <v>1.2</v>
      </c>
      <c r="C125" t="s">
        <v>480</v>
      </c>
      <c r="D125">
        <v>216.6</v>
      </c>
      <c r="E125">
        <v>28.3</v>
      </c>
      <c r="F125">
        <v>6.1</v>
      </c>
      <c r="G125">
        <v>51</v>
      </c>
      <c r="H125" t="s">
        <v>481</v>
      </c>
    </row>
    <row r="126" spans="1:8" x14ac:dyDescent="0.3">
      <c r="A126" t="s">
        <v>132</v>
      </c>
      <c r="B126">
        <v>1.25</v>
      </c>
      <c r="C126" t="s">
        <v>480</v>
      </c>
      <c r="D126">
        <v>218.3</v>
      </c>
      <c r="E126">
        <v>24.7</v>
      </c>
      <c r="F126">
        <v>6.1</v>
      </c>
      <c r="G126">
        <v>51</v>
      </c>
      <c r="H126" t="s">
        <v>481</v>
      </c>
    </row>
    <row r="127" spans="1:8" x14ac:dyDescent="0.3">
      <c r="A127" t="s">
        <v>133</v>
      </c>
      <c r="B127">
        <v>1.2</v>
      </c>
      <c r="C127" t="s">
        <v>480</v>
      </c>
      <c r="D127">
        <v>210.3</v>
      </c>
      <c r="E127">
        <v>25.4</v>
      </c>
      <c r="F127">
        <v>6.1</v>
      </c>
      <c r="G127">
        <v>51</v>
      </c>
      <c r="H127" t="s">
        <v>481</v>
      </c>
    </row>
    <row r="128" spans="1:8" x14ac:dyDescent="0.3">
      <c r="A128" t="s">
        <v>134</v>
      </c>
      <c r="B128">
        <v>1.3</v>
      </c>
      <c r="C128" t="s">
        <v>480</v>
      </c>
      <c r="D128">
        <v>222.3</v>
      </c>
      <c r="E128">
        <v>26.3</v>
      </c>
      <c r="F128">
        <v>6</v>
      </c>
      <c r="G128">
        <v>51</v>
      </c>
      <c r="H128" t="s">
        <v>481</v>
      </c>
    </row>
    <row r="129" spans="1:8" x14ac:dyDescent="0.3">
      <c r="A129" t="s">
        <v>135</v>
      </c>
      <c r="B129">
        <v>1.18</v>
      </c>
      <c r="C129" t="s">
        <v>480</v>
      </c>
      <c r="D129">
        <v>157.19999999999999</v>
      </c>
      <c r="E129">
        <v>45.7</v>
      </c>
      <c r="F129">
        <v>6</v>
      </c>
      <c r="G129">
        <v>51</v>
      </c>
      <c r="H129" t="s">
        <v>481</v>
      </c>
    </row>
    <row r="130" spans="1:8" x14ac:dyDescent="0.3">
      <c r="A130" t="s">
        <v>136</v>
      </c>
      <c r="B130">
        <v>1.2</v>
      </c>
      <c r="C130" t="s">
        <v>480</v>
      </c>
      <c r="D130">
        <v>186.9</v>
      </c>
      <c r="E130">
        <v>31.5</v>
      </c>
      <c r="F130">
        <v>6</v>
      </c>
      <c r="G130">
        <v>51</v>
      </c>
      <c r="H130" t="s">
        <v>481</v>
      </c>
    </row>
    <row r="131" spans="1:8" x14ac:dyDescent="0.3">
      <c r="A131" t="s">
        <v>137</v>
      </c>
      <c r="B131">
        <v>1.3</v>
      </c>
      <c r="C131" t="s">
        <v>480</v>
      </c>
      <c r="D131">
        <v>208</v>
      </c>
      <c r="E131">
        <v>47.3</v>
      </c>
      <c r="F131">
        <v>6</v>
      </c>
      <c r="G131">
        <v>51</v>
      </c>
      <c r="H131" t="s">
        <v>481</v>
      </c>
    </row>
    <row r="132" spans="1:8" x14ac:dyDescent="0.3">
      <c r="A132" t="s">
        <v>138</v>
      </c>
      <c r="B132">
        <v>1.3</v>
      </c>
      <c r="C132" t="s">
        <v>480</v>
      </c>
      <c r="D132">
        <v>230.9</v>
      </c>
      <c r="E132">
        <v>28.3</v>
      </c>
      <c r="F132">
        <v>6</v>
      </c>
      <c r="G132">
        <v>51</v>
      </c>
      <c r="H132" t="s">
        <v>481</v>
      </c>
    </row>
    <row r="133" spans="1:8" x14ac:dyDescent="0.3">
      <c r="A133" t="s">
        <v>139</v>
      </c>
      <c r="B133">
        <v>1.17</v>
      </c>
      <c r="C133" t="s">
        <v>480</v>
      </c>
      <c r="D133">
        <v>167.4</v>
      </c>
      <c r="E133">
        <v>39.1</v>
      </c>
      <c r="F133">
        <v>5.9</v>
      </c>
      <c r="G133">
        <v>51</v>
      </c>
      <c r="H133" t="s">
        <v>481</v>
      </c>
    </row>
    <row r="134" spans="1:8" x14ac:dyDescent="0.3">
      <c r="A134" t="s">
        <v>140</v>
      </c>
      <c r="B134">
        <v>1.25</v>
      </c>
      <c r="C134" t="s">
        <v>480</v>
      </c>
      <c r="D134">
        <v>228.6</v>
      </c>
      <c r="E134">
        <v>41</v>
      </c>
      <c r="F134">
        <v>5.9</v>
      </c>
      <c r="G134">
        <v>51</v>
      </c>
      <c r="H134" t="s">
        <v>482</v>
      </c>
    </row>
    <row r="135" spans="1:8" x14ac:dyDescent="0.3">
      <c r="A135" t="s">
        <v>141</v>
      </c>
      <c r="B135">
        <v>1.25</v>
      </c>
      <c r="C135" t="s">
        <v>480</v>
      </c>
      <c r="D135">
        <v>203.5</v>
      </c>
      <c r="E135">
        <v>42.2</v>
      </c>
      <c r="F135">
        <v>5.9</v>
      </c>
      <c r="G135">
        <v>51</v>
      </c>
      <c r="H135" t="s">
        <v>481</v>
      </c>
    </row>
    <row r="136" spans="1:8" x14ac:dyDescent="0.3">
      <c r="A136" t="s">
        <v>142</v>
      </c>
      <c r="B136">
        <v>1.2</v>
      </c>
      <c r="C136" t="s">
        <v>480</v>
      </c>
      <c r="D136">
        <v>238.9</v>
      </c>
      <c r="E136">
        <v>33.5</v>
      </c>
      <c r="F136">
        <v>5.9</v>
      </c>
      <c r="G136">
        <v>51</v>
      </c>
      <c r="H136" t="s">
        <v>483</v>
      </c>
    </row>
    <row r="137" spans="1:8" x14ac:dyDescent="0.3">
      <c r="A137" t="s">
        <v>143</v>
      </c>
      <c r="B137">
        <v>1.25</v>
      </c>
      <c r="C137" t="s">
        <v>480</v>
      </c>
      <c r="D137">
        <v>237.7</v>
      </c>
      <c r="E137">
        <v>25.2</v>
      </c>
      <c r="F137">
        <v>5.9</v>
      </c>
      <c r="G137">
        <v>51</v>
      </c>
      <c r="H137" t="s">
        <v>481</v>
      </c>
    </row>
    <row r="138" spans="1:8" x14ac:dyDescent="0.3">
      <c r="A138" t="s">
        <v>144</v>
      </c>
      <c r="B138">
        <v>1.3</v>
      </c>
      <c r="C138" t="s">
        <v>480</v>
      </c>
      <c r="D138">
        <v>233.2</v>
      </c>
      <c r="E138">
        <v>20.9</v>
      </c>
      <c r="F138">
        <v>5.9</v>
      </c>
      <c r="G138">
        <v>51</v>
      </c>
      <c r="H138" t="s">
        <v>481</v>
      </c>
    </row>
    <row r="139" spans="1:8" x14ac:dyDescent="0.3">
      <c r="A139" t="s">
        <v>145</v>
      </c>
      <c r="B139">
        <v>1.23</v>
      </c>
      <c r="C139" t="s">
        <v>480</v>
      </c>
      <c r="D139">
        <v>192.6</v>
      </c>
      <c r="E139">
        <v>33.9</v>
      </c>
      <c r="F139">
        <v>5.9</v>
      </c>
      <c r="G139">
        <v>51</v>
      </c>
      <c r="H139" t="s">
        <v>481</v>
      </c>
    </row>
    <row r="140" spans="1:8" x14ac:dyDescent="0.3">
      <c r="A140" t="s">
        <v>146</v>
      </c>
      <c r="B140">
        <v>1.32</v>
      </c>
      <c r="C140" t="s">
        <v>480</v>
      </c>
      <c r="D140">
        <v>229.2</v>
      </c>
      <c r="E140">
        <v>22.2</v>
      </c>
      <c r="F140">
        <v>5.9</v>
      </c>
      <c r="G140">
        <v>51</v>
      </c>
      <c r="H140" t="s">
        <v>481</v>
      </c>
    </row>
    <row r="141" spans="1:8" x14ac:dyDescent="0.3">
      <c r="A141" t="s">
        <v>147</v>
      </c>
      <c r="B141">
        <v>1.3</v>
      </c>
      <c r="C141" t="s">
        <v>480</v>
      </c>
      <c r="D141">
        <v>189.7</v>
      </c>
      <c r="E141">
        <v>43.3</v>
      </c>
      <c r="F141">
        <v>5.8</v>
      </c>
      <c r="G141">
        <v>51</v>
      </c>
      <c r="H141" t="s">
        <v>481</v>
      </c>
    </row>
    <row r="142" spans="1:8" x14ac:dyDescent="0.3">
      <c r="A142" t="s">
        <v>148</v>
      </c>
      <c r="B142">
        <v>1.25</v>
      </c>
      <c r="C142" t="s">
        <v>480</v>
      </c>
      <c r="D142">
        <v>216.6</v>
      </c>
      <c r="E142">
        <v>38.4</v>
      </c>
      <c r="F142">
        <v>5.8</v>
      </c>
      <c r="G142">
        <v>51</v>
      </c>
      <c r="H142" t="s">
        <v>481</v>
      </c>
    </row>
    <row r="143" spans="1:8" x14ac:dyDescent="0.3">
      <c r="A143" t="s">
        <v>149</v>
      </c>
      <c r="B143">
        <v>1.32</v>
      </c>
      <c r="C143" t="s">
        <v>480</v>
      </c>
      <c r="D143">
        <v>217.7</v>
      </c>
      <c r="E143">
        <v>31</v>
      </c>
      <c r="F143">
        <v>5.8</v>
      </c>
      <c r="G143">
        <v>51</v>
      </c>
      <c r="H143" t="s">
        <v>481</v>
      </c>
    </row>
    <row r="144" spans="1:8" x14ac:dyDescent="0.3">
      <c r="A144" t="s">
        <v>150</v>
      </c>
      <c r="B144">
        <v>1.2</v>
      </c>
      <c r="C144" t="s">
        <v>480</v>
      </c>
      <c r="D144">
        <v>208.6</v>
      </c>
      <c r="E144">
        <v>47.6</v>
      </c>
      <c r="F144">
        <v>5.8</v>
      </c>
      <c r="G144">
        <v>51</v>
      </c>
      <c r="H144" t="s">
        <v>482</v>
      </c>
    </row>
    <row r="145" spans="1:8" x14ac:dyDescent="0.3">
      <c r="A145" t="s">
        <v>151</v>
      </c>
      <c r="B145">
        <v>1.3</v>
      </c>
      <c r="C145" t="s">
        <v>480</v>
      </c>
      <c r="D145">
        <v>276</v>
      </c>
      <c r="E145">
        <v>30.2</v>
      </c>
      <c r="F145">
        <v>5.8</v>
      </c>
      <c r="G145">
        <v>51</v>
      </c>
      <c r="H145" t="s">
        <v>483</v>
      </c>
    </row>
    <row r="146" spans="1:8" x14ac:dyDescent="0.3">
      <c r="A146" t="s">
        <v>152</v>
      </c>
      <c r="B146">
        <v>1.25</v>
      </c>
      <c r="C146" t="s">
        <v>480</v>
      </c>
      <c r="D146">
        <v>225.2</v>
      </c>
      <c r="E146">
        <v>46.1</v>
      </c>
      <c r="F146">
        <v>5.8</v>
      </c>
      <c r="G146">
        <v>51</v>
      </c>
      <c r="H146" t="s">
        <v>482</v>
      </c>
    </row>
    <row r="147" spans="1:8" x14ac:dyDescent="0.3">
      <c r="A147" t="s">
        <v>153</v>
      </c>
      <c r="B147">
        <v>1.1499999999999999</v>
      </c>
      <c r="C147" t="s">
        <v>480</v>
      </c>
      <c r="D147">
        <v>206.9</v>
      </c>
      <c r="E147">
        <v>50.1</v>
      </c>
      <c r="F147">
        <v>5.8</v>
      </c>
      <c r="G147">
        <v>51</v>
      </c>
      <c r="H147" t="s">
        <v>483</v>
      </c>
    </row>
    <row r="148" spans="1:8" x14ac:dyDescent="0.3">
      <c r="A148" t="s">
        <v>154</v>
      </c>
      <c r="B148">
        <v>1.25</v>
      </c>
      <c r="C148" t="s">
        <v>480</v>
      </c>
      <c r="D148">
        <v>192</v>
      </c>
      <c r="E148">
        <v>29.3</v>
      </c>
      <c r="F148">
        <v>5.8</v>
      </c>
      <c r="G148">
        <v>51</v>
      </c>
      <c r="H148" t="s">
        <v>481</v>
      </c>
    </row>
    <row r="149" spans="1:8" x14ac:dyDescent="0.3">
      <c r="A149" t="s">
        <v>155</v>
      </c>
      <c r="B149">
        <v>1.18</v>
      </c>
      <c r="C149" t="s">
        <v>480</v>
      </c>
      <c r="D149">
        <v>184</v>
      </c>
      <c r="E149">
        <v>36.1</v>
      </c>
      <c r="F149">
        <v>5.8</v>
      </c>
      <c r="G149">
        <v>51</v>
      </c>
      <c r="H149" t="s">
        <v>481</v>
      </c>
    </row>
    <row r="150" spans="1:8" x14ac:dyDescent="0.3">
      <c r="A150" t="s">
        <v>156</v>
      </c>
      <c r="B150">
        <v>1.24</v>
      </c>
      <c r="C150" t="s">
        <v>480</v>
      </c>
      <c r="D150">
        <v>204</v>
      </c>
      <c r="E150">
        <v>27</v>
      </c>
      <c r="F150">
        <v>5.8</v>
      </c>
      <c r="G150">
        <v>51</v>
      </c>
      <c r="H150" t="s">
        <v>481</v>
      </c>
    </row>
    <row r="151" spans="1:8" x14ac:dyDescent="0.3">
      <c r="A151" t="s">
        <v>157</v>
      </c>
      <c r="B151">
        <v>1.3</v>
      </c>
      <c r="C151" t="s">
        <v>480</v>
      </c>
      <c r="D151">
        <v>204.6</v>
      </c>
      <c r="E151">
        <v>45.4</v>
      </c>
      <c r="F151">
        <v>5.8</v>
      </c>
      <c r="G151">
        <v>51</v>
      </c>
      <c r="H151" t="s">
        <v>481</v>
      </c>
    </row>
    <row r="152" spans="1:8" x14ac:dyDescent="0.3">
      <c r="A152" t="s">
        <v>158</v>
      </c>
      <c r="B152">
        <v>1.25</v>
      </c>
      <c r="C152" t="s">
        <v>480</v>
      </c>
      <c r="D152">
        <v>194.9</v>
      </c>
      <c r="E152">
        <v>35</v>
      </c>
      <c r="F152">
        <v>5.8</v>
      </c>
      <c r="G152">
        <v>51</v>
      </c>
      <c r="H152" t="s">
        <v>481</v>
      </c>
    </row>
    <row r="153" spans="1:8" x14ac:dyDescent="0.3">
      <c r="A153" t="s">
        <v>159</v>
      </c>
      <c r="B153">
        <v>1.21</v>
      </c>
      <c r="C153" t="s">
        <v>480</v>
      </c>
      <c r="D153">
        <v>194.9</v>
      </c>
      <c r="E153">
        <v>30.9</v>
      </c>
      <c r="F153">
        <v>5.8</v>
      </c>
      <c r="G153">
        <v>51</v>
      </c>
      <c r="H153" t="s">
        <v>481</v>
      </c>
    </row>
    <row r="154" spans="1:8" x14ac:dyDescent="0.3">
      <c r="A154" t="s">
        <v>160</v>
      </c>
      <c r="B154">
        <v>1.05</v>
      </c>
      <c r="C154" t="s">
        <v>480</v>
      </c>
      <c r="D154">
        <v>136</v>
      </c>
      <c r="E154">
        <v>47.3</v>
      </c>
      <c r="F154">
        <v>5.8</v>
      </c>
      <c r="G154">
        <v>51</v>
      </c>
      <c r="H154" t="s">
        <v>481</v>
      </c>
    </row>
    <row r="155" spans="1:8" x14ac:dyDescent="0.3">
      <c r="A155" t="s">
        <v>161</v>
      </c>
      <c r="B155">
        <v>1.25</v>
      </c>
      <c r="C155" t="s">
        <v>480</v>
      </c>
      <c r="D155">
        <v>206.3</v>
      </c>
      <c r="E155">
        <v>32</v>
      </c>
      <c r="F155">
        <v>5.8</v>
      </c>
      <c r="G155">
        <v>51</v>
      </c>
      <c r="H155" t="s">
        <v>481</v>
      </c>
    </row>
    <row r="156" spans="1:8" x14ac:dyDescent="0.3">
      <c r="A156" t="s">
        <v>162</v>
      </c>
      <c r="B156">
        <v>1.25</v>
      </c>
      <c r="C156" t="s">
        <v>480</v>
      </c>
      <c r="D156">
        <v>206.3</v>
      </c>
      <c r="E156">
        <v>27.8</v>
      </c>
      <c r="F156">
        <v>5.8</v>
      </c>
      <c r="G156">
        <v>51</v>
      </c>
      <c r="H156" t="s">
        <v>481</v>
      </c>
    </row>
    <row r="157" spans="1:8" x14ac:dyDescent="0.3">
      <c r="A157" t="s">
        <v>163</v>
      </c>
      <c r="B157">
        <v>1.25</v>
      </c>
      <c r="C157" t="s">
        <v>480</v>
      </c>
      <c r="D157">
        <v>209.7</v>
      </c>
      <c r="E157">
        <v>47.6</v>
      </c>
      <c r="F157">
        <v>5.7</v>
      </c>
      <c r="G157">
        <v>51</v>
      </c>
      <c r="H157" t="s">
        <v>481</v>
      </c>
    </row>
    <row r="158" spans="1:8" x14ac:dyDescent="0.3">
      <c r="A158" t="s">
        <v>164</v>
      </c>
      <c r="B158">
        <v>1.25</v>
      </c>
      <c r="C158" t="s">
        <v>480</v>
      </c>
      <c r="D158">
        <v>234.3</v>
      </c>
      <c r="E158">
        <v>47.5</v>
      </c>
      <c r="F158">
        <v>5.7</v>
      </c>
      <c r="G158">
        <v>51</v>
      </c>
      <c r="H158" t="s">
        <v>482</v>
      </c>
    </row>
    <row r="159" spans="1:8" x14ac:dyDescent="0.3">
      <c r="A159" t="s">
        <v>165</v>
      </c>
      <c r="B159">
        <v>1.2</v>
      </c>
      <c r="C159" t="s">
        <v>480</v>
      </c>
      <c r="D159">
        <v>202.3</v>
      </c>
      <c r="E159">
        <v>49.6</v>
      </c>
      <c r="F159">
        <v>5.7</v>
      </c>
      <c r="G159">
        <v>51</v>
      </c>
      <c r="H159" t="s">
        <v>482</v>
      </c>
    </row>
    <row r="160" spans="1:8" x14ac:dyDescent="0.3">
      <c r="A160" t="s">
        <v>166</v>
      </c>
      <c r="B160">
        <v>1.25</v>
      </c>
      <c r="C160" t="s">
        <v>480</v>
      </c>
      <c r="D160">
        <v>179.5</v>
      </c>
      <c r="E160">
        <v>47</v>
      </c>
      <c r="F160">
        <v>5.7</v>
      </c>
      <c r="G160">
        <v>51</v>
      </c>
      <c r="H160" t="s">
        <v>481</v>
      </c>
    </row>
    <row r="161" spans="1:8" x14ac:dyDescent="0.3">
      <c r="A161" t="s">
        <v>167</v>
      </c>
      <c r="B161">
        <v>1.25</v>
      </c>
      <c r="C161" t="s">
        <v>480</v>
      </c>
      <c r="D161">
        <v>178.9</v>
      </c>
      <c r="E161">
        <v>63.2</v>
      </c>
      <c r="F161">
        <v>5.7</v>
      </c>
      <c r="G161">
        <v>51</v>
      </c>
      <c r="H161" t="s">
        <v>483</v>
      </c>
    </row>
    <row r="162" spans="1:8" x14ac:dyDescent="0.3">
      <c r="A162" t="s">
        <v>168</v>
      </c>
      <c r="B162">
        <v>1.25</v>
      </c>
      <c r="C162" t="s">
        <v>480</v>
      </c>
      <c r="D162">
        <v>198.3</v>
      </c>
      <c r="E162">
        <v>28.5</v>
      </c>
      <c r="F162">
        <v>5.7</v>
      </c>
      <c r="G162">
        <v>51</v>
      </c>
      <c r="H162" t="s">
        <v>481</v>
      </c>
    </row>
    <row r="163" spans="1:8" x14ac:dyDescent="0.3">
      <c r="A163" t="s">
        <v>169</v>
      </c>
      <c r="B163">
        <v>1.2</v>
      </c>
      <c r="C163" t="s">
        <v>480</v>
      </c>
      <c r="D163">
        <v>186.3</v>
      </c>
      <c r="E163">
        <v>29.2</v>
      </c>
      <c r="F163">
        <v>5.7</v>
      </c>
      <c r="G163">
        <v>51</v>
      </c>
      <c r="H163" t="s">
        <v>481</v>
      </c>
    </row>
    <row r="164" spans="1:8" x14ac:dyDescent="0.3">
      <c r="A164" t="s">
        <v>170</v>
      </c>
      <c r="B164">
        <v>1.25</v>
      </c>
      <c r="C164" t="s">
        <v>480</v>
      </c>
      <c r="D164">
        <v>193.2</v>
      </c>
      <c r="E164">
        <v>43.3</v>
      </c>
      <c r="F164">
        <v>5.7</v>
      </c>
      <c r="G164">
        <v>51</v>
      </c>
      <c r="H164" t="s">
        <v>481</v>
      </c>
    </row>
    <row r="165" spans="1:8" x14ac:dyDescent="0.3">
      <c r="A165" t="s">
        <v>171</v>
      </c>
      <c r="B165">
        <v>1.23</v>
      </c>
      <c r="C165" t="s">
        <v>480</v>
      </c>
      <c r="D165">
        <v>197.7</v>
      </c>
      <c r="E165">
        <v>29.8</v>
      </c>
      <c r="F165">
        <v>5.7</v>
      </c>
      <c r="G165">
        <v>51</v>
      </c>
      <c r="H165" t="s">
        <v>481</v>
      </c>
    </row>
    <row r="166" spans="1:8" x14ac:dyDescent="0.3">
      <c r="A166" t="s">
        <v>172</v>
      </c>
      <c r="B166">
        <v>1.3</v>
      </c>
      <c r="C166" t="s">
        <v>480</v>
      </c>
      <c r="D166">
        <v>181.7</v>
      </c>
      <c r="E166">
        <v>49.7</v>
      </c>
      <c r="F166">
        <v>5.6</v>
      </c>
      <c r="G166">
        <v>51</v>
      </c>
      <c r="H166" t="s">
        <v>481</v>
      </c>
    </row>
    <row r="167" spans="1:8" x14ac:dyDescent="0.3">
      <c r="A167" t="s">
        <v>173</v>
      </c>
      <c r="B167">
        <v>1.25</v>
      </c>
      <c r="C167" t="s">
        <v>480</v>
      </c>
      <c r="D167">
        <v>256.60000000000002</v>
      </c>
      <c r="E167">
        <v>40.200000000000003</v>
      </c>
      <c r="F167">
        <v>5.6</v>
      </c>
      <c r="G167">
        <v>51</v>
      </c>
      <c r="H167" t="s">
        <v>482</v>
      </c>
    </row>
    <row r="168" spans="1:8" x14ac:dyDescent="0.3">
      <c r="A168" t="s">
        <v>174</v>
      </c>
      <c r="B168">
        <v>1.24</v>
      </c>
      <c r="C168" t="s">
        <v>480</v>
      </c>
      <c r="D168">
        <v>169.2</v>
      </c>
      <c r="E168">
        <v>44.6</v>
      </c>
      <c r="F168">
        <v>5.6</v>
      </c>
      <c r="G168">
        <v>51</v>
      </c>
      <c r="H168" t="s">
        <v>481</v>
      </c>
    </row>
    <row r="169" spans="1:8" x14ac:dyDescent="0.3">
      <c r="A169" t="s">
        <v>175</v>
      </c>
      <c r="B169">
        <v>1.2</v>
      </c>
      <c r="C169" t="s">
        <v>480</v>
      </c>
      <c r="D169">
        <v>238.3</v>
      </c>
      <c r="E169">
        <v>38.700000000000003</v>
      </c>
      <c r="F169">
        <v>5.6</v>
      </c>
      <c r="G169">
        <v>51</v>
      </c>
      <c r="H169" t="s">
        <v>482</v>
      </c>
    </row>
    <row r="170" spans="1:8" x14ac:dyDescent="0.3">
      <c r="A170" t="s">
        <v>176</v>
      </c>
      <c r="B170">
        <v>1.25</v>
      </c>
      <c r="C170" t="s">
        <v>480</v>
      </c>
      <c r="D170">
        <v>223.5</v>
      </c>
      <c r="E170">
        <v>26.4</v>
      </c>
      <c r="F170">
        <v>5.6</v>
      </c>
      <c r="G170">
        <v>51</v>
      </c>
      <c r="H170" t="s">
        <v>481</v>
      </c>
    </row>
    <row r="171" spans="1:8" x14ac:dyDescent="0.3">
      <c r="A171" t="s">
        <v>177</v>
      </c>
      <c r="B171">
        <v>1.3</v>
      </c>
      <c r="C171" t="s">
        <v>480</v>
      </c>
      <c r="D171">
        <v>226.3</v>
      </c>
      <c r="E171">
        <v>28.8</v>
      </c>
      <c r="F171">
        <v>5.6</v>
      </c>
      <c r="G171">
        <v>51</v>
      </c>
      <c r="H171" t="s">
        <v>482</v>
      </c>
    </row>
    <row r="172" spans="1:8" x14ac:dyDescent="0.3">
      <c r="A172" t="s">
        <v>178</v>
      </c>
      <c r="B172">
        <v>1.25</v>
      </c>
      <c r="C172" t="s">
        <v>480</v>
      </c>
      <c r="D172">
        <v>222.9</v>
      </c>
      <c r="E172">
        <v>24.3</v>
      </c>
      <c r="F172">
        <v>5.6</v>
      </c>
      <c r="G172">
        <v>51</v>
      </c>
      <c r="H172" t="s">
        <v>481</v>
      </c>
    </row>
    <row r="173" spans="1:8" x14ac:dyDescent="0.3">
      <c r="A173" t="s">
        <v>179</v>
      </c>
      <c r="B173">
        <v>1.1599999999999999</v>
      </c>
      <c r="C173" t="s">
        <v>480</v>
      </c>
      <c r="D173">
        <v>182.3</v>
      </c>
      <c r="E173">
        <v>35.4</v>
      </c>
      <c r="F173">
        <v>5.6</v>
      </c>
      <c r="G173">
        <v>51</v>
      </c>
      <c r="H173" t="s">
        <v>481</v>
      </c>
    </row>
    <row r="174" spans="1:8" x14ac:dyDescent="0.3">
      <c r="A174" t="s">
        <v>180</v>
      </c>
      <c r="B174">
        <v>1.3</v>
      </c>
      <c r="C174" t="s">
        <v>480</v>
      </c>
      <c r="D174">
        <v>221.2</v>
      </c>
      <c r="E174">
        <v>35</v>
      </c>
      <c r="F174">
        <v>5.6</v>
      </c>
      <c r="G174">
        <v>51</v>
      </c>
      <c r="H174" t="s">
        <v>481</v>
      </c>
    </row>
    <row r="175" spans="1:8" x14ac:dyDescent="0.3">
      <c r="A175" t="s">
        <v>181</v>
      </c>
      <c r="B175">
        <v>1.26</v>
      </c>
      <c r="C175" t="s">
        <v>480</v>
      </c>
      <c r="D175">
        <v>200.6</v>
      </c>
      <c r="E175">
        <v>34.700000000000003</v>
      </c>
      <c r="F175">
        <v>5.6</v>
      </c>
      <c r="G175">
        <v>51</v>
      </c>
      <c r="H175" t="s">
        <v>481</v>
      </c>
    </row>
    <row r="176" spans="1:8" x14ac:dyDescent="0.3">
      <c r="A176" t="s">
        <v>182</v>
      </c>
      <c r="B176">
        <v>1.25</v>
      </c>
      <c r="C176" t="s">
        <v>480</v>
      </c>
      <c r="D176">
        <v>229.2</v>
      </c>
      <c r="E176">
        <v>29.6</v>
      </c>
      <c r="F176">
        <v>5.6</v>
      </c>
      <c r="G176">
        <v>51</v>
      </c>
      <c r="H176" t="s">
        <v>481</v>
      </c>
    </row>
    <row r="177" spans="1:8" x14ac:dyDescent="0.3">
      <c r="A177" t="s">
        <v>183</v>
      </c>
      <c r="B177">
        <v>1.25</v>
      </c>
      <c r="C177" t="s">
        <v>480</v>
      </c>
      <c r="D177">
        <v>182.9</v>
      </c>
      <c r="E177">
        <v>33.5</v>
      </c>
      <c r="F177">
        <v>5.6</v>
      </c>
      <c r="G177">
        <v>51</v>
      </c>
      <c r="H177" t="s">
        <v>481</v>
      </c>
    </row>
    <row r="178" spans="1:8" x14ac:dyDescent="0.3">
      <c r="A178" t="s">
        <v>184</v>
      </c>
      <c r="B178">
        <v>1.3</v>
      </c>
      <c r="C178" t="s">
        <v>480</v>
      </c>
      <c r="D178">
        <v>198.3</v>
      </c>
      <c r="E178">
        <v>36.5</v>
      </c>
      <c r="F178">
        <v>5.5</v>
      </c>
      <c r="G178">
        <v>51</v>
      </c>
      <c r="H178" t="s">
        <v>481</v>
      </c>
    </row>
    <row r="179" spans="1:8" x14ac:dyDescent="0.3">
      <c r="A179" t="s">
        <v>185</v>
      </c>
      <c r="B179">
        <v>1.3</v>
      </c>
      <c r="C179" t="s">
        <v>480</v>
      </c>
      <c r="D179">
        <v>211.5</v>
      </c>
      <c r="E179">
        <v>35.6</v>
      </c>
      <c r="F179">
        <v>5.5</v>
      </c>
      <c r="G179">
        <v>51</v>
      </c>
      <c r="H179" t="s">
        <v>482</v>
      </c>
    </row>
    <row r="180" spans="1:8" x14ac:dyDescent="0.3">
      <c r="A180" t="s">
        <v>186</v>
      </c>
      <c r="B180">
        <v>1.23</v>
      </c>
      <c r="C180" t="s">
        <v>480</v>
      </c>
      <c r="D180">
        <v>205.7</v>
      </c>
      <c r="E180">
        <v>27.4</v>
      </c>
      <c r="F180">
        <v>5.5</v>
      </c>
      <c r="G180">
        <v>51</v>
      </c>
      <c r="H180" t="s">
        <v>481</v>
      </c>
    </row>
    <row r="181" spans="1:8" x14ac:dyDescent="0.3">
      <c r="A181" t="s">
        <v>187</v>
      </c>
      <c r="B181">
        <v>1.3</v>
      </c>
      <c r="C181" t="s">
        <v>480</v>
      </c>
      <c r="D181">
        <v>189.2</v>
      </c>
      <c r="E181">
        <v>54.1</v>
      </c>
      <c r="F181">
        <v>5.5</v>
      </c>
      <c r="G181">
        <v>51</v>
      </c>
      <c r="H181" t="s">
        <v>481</v>
      </c>
    </row>
    <row r="182" spans="1:8" x14ac:dyDescent="0.3">
      <c r="A182" t="s">
        <v>188</v>
      </c>
      <c r="B182">
        <v>1.35</v>
      </c>
      <c r="C182" t="s">
        <v>480</v>
      </c>
      <c r="D182">
        <v>255.5</v>
      </c>
      <c r="E182">
        <v>41.4</v>
      </c>
      <c r="F182">
        <v>5.5</v>
      </c>
      <c r="G182">
        <v>51</v>
      </c>
      <c r="H182" t="s">
        <v>483</v>
      </c>
    </row>
    <row r="183" spans="1:8" x14ac:dyDescent="0.3">
      <c r="A183" t="s">
        <v>189</v>
      </c>
      <c r="B183">
        <v>1.2</v>
      </c>
      <c r="C183" t="s">
        <v>480</v>
      </c>
      <c r="D183">
        <v>182.9</v>
      </c>
      <c r="E183">
        <v>50.4</v>
      </c>
      <c r="F183">
        <v>5.5</v>
      </c>
      <c r="G183">
        <v>51</v>
      </c>
      <c r="H183" t="s">
        <v>481</v>
      </c>
    </row>
    <row r="184" spans="1:8" x14ac:dyDescent="0.3">
      <c r="A184" t="s">
        <v>190</v>
      </c>
      <c r="B184">
        <v>1.25</v>
      </c>
      <c r="C184" t="s">
        <v>480</v>
      </c>
      <c r="D184">
        <v>238.3</v>
      </c>
      <c r="E184">
        <v>33.5</v>
      </c>
      <c r="F184">
        <v>5.5</v>
      </c>
      <c r="G184">
        <v>51</v>
      </c>
      <c r="H184" t="s">
        <v>483</v>
      </c>
    </row>
    <row r="185" spans="1:8" x14ac:dyDescent="0.3">
      <c r="A185" t="s">
        <v>191</v>
      </c>
      <c r="B185">
        <v>1.25</v>
      </c>
      <c r="C185" t="s">
        <v>480</v>
      </c>
      <c r="D185">
        <v>208</v>
      </c>
      <c r="E185">
        <v>33.6</v>
      </c>
      <c r="F185">
        <v>5.5</v>
      </c>
      <c r="G185">
        <v>51</v>
      </c>
      <c r="H185" t="s">
        <v>481</v>
      </c>
    </row>
    <row r="186" spans="1:8" x14ac:dyDescent="0.3">
      <c r="A186" t="s">
        <v>192</v>
      </c>
      <c r="B186">
        <v>1.3</v>
      </c>
      <c r="C186" t="s">
        <v>480</v>
      </c>
      <c r="D186">
        <v>185.7</v>
      </c>
      <c r="E186">
        <v>43</v>
      </c>
      <c r="F186">
        <v>5.5</v>
      </c>
      <c r="G186">
        <v>51</v>
      </c>
      <c r="H186" t="s">
        <v>481</v>
      </c>
    </row>
    <row r="187" spans="1:8" x14ac:dyDescent="0.3">
      <c r="A187" t="s">
        <v>193</v>
      </c>
      <c r="B187">
        <v>1.3</v>
      </c>
      <c r="C187" t="s">
        <v>480</v>
      </c>
      <c r="D187">
        <v>214.9</v>
      </c>
      <c r="E187">
        <v>40.9</v>
      </c>
      <c r="F187">
        <v>5.5</v>
      </c>
      <c r="G187">
        <v>51</v>
      </c>
      <c r="H187" t="s">
        <v>481</v>
      </c>
    </row>
    <row r="188" spans="1:8" x14ac:dyDescent="0.3">
      <c r="A188" t="s">
        <v>194</v>
      </c>
      <c r="B188">
        <v>1.2</v>
      </c>
      <c r="C188" t="s">
        <v>480</v>
      </c>
      <c r="D188">
        <v>208.6</v>
      </c>
      <c r="E188">
        <v>44.2</v>
      </c>
      <c r="F188">
        <v>5.4</v>
      </c>
      <c r="G188">
        <v>51</v>
      </c>
      <c r="H188" t="s">
        <v>481</v>
      </c>
    </row>
    <row r="189" spans="1:8" x14ac:dyDescent="0.3">
      <c r="A189" t="s">
        <v>195</v>
      </c>
      <c r="B189">
        <v>1.2</v>
      </c>
      <c r="C189" t="s">
        <v>480</v>
      </c>
      <c r="D189">
        <v>228.6</v>
      </c>
      <c r="E189">
        <v>35.700000000000003</v>
      </c>
      <c r="F189">
        <v>5.4</v>
      </c>
      <c r="G189">
        <v>51</v>
      </c>
      <c r="H189" t="s">
        <v>483</v>
      </c>
    </row>
    <row r="190" spans="1:8" x14ac:dyDescent="0.3">
      <c r="A190" t="s">
        <v>196</v>
      </c>
      <c r="B190">
        <v>1.2</v>
      </c>
      <c r="C190" t="s">
        <v>480</v>
      </c>
      <c r="D190">
        <v>216</v>
      </c>
      <c r="E190">
        <v>39.299999999999997</v>
      </c>
      <c r="F190">
        <v>5.4</v>
      </c>
      <c r="G190">
        <v>51</v>
      </c>
      <c r="H190" t="s">
        <v>483</v>
      </c>
    </row>
    <row r="191" spans="1:8" x14ac:dyDescent="0.3">
      <c r="A191" t="s">
        <v>197</v>
      </c>
      <c r="B191">
        <v>1.3</v>
      </c>
      <c r="C191" t="s">
        <v>480</v>
      </c>
      <c r="D191">
        <v>223.5</v>
      </c>
      <c r="E191">
        <v>41.2</v>
      </c>
      <c r="F191">
        <v>5.4</v>
      </c>
      <c r="G191">
        <v>51</v>
      </c>
      <c r="H191" t="s">
        <v>481</v>
      </c>
    </row>
    <row r="192" spans="1:8" x14ac:dyDescent="0.3">
      <c r="A192" t="s">
        <v>198</v>
      </c>
      <c r="B192">
        <v>1.25</v>
      </c>
      <c r="C192" t="s">
        <v>480</v>
      </c>
      <c r="D192">
        <v>218.9</v>
      </c>
      <c r="E192">
        <v>46.3</v>
      </c>
      <c r="F192">
        <v>5.4</v>
      </c>
      <c r="G192">
        <v>51</v>
      </c>
      <c r="H192" t="s">
        <v>482</v>
      </c>
    </row>
    <row r="193" spans="1:8" x14ac:dyDescent="0.3">
      <c r="A193" t="s">
        <v>199</v>
      </c>
      <c r="B193">
        <v>1.25</v>
      </c>
      <c r="C193" t="s">
        <v>480</v>
      </c>
      <c r="D193">
        <v>240.6</v>
      </c>
      <c r="E193">
        <v>23.5</v>
      </c>
      <c r="F193">
        <v>5.4</v>
      </c>
      <c r="G193">
        <v>51</v>
      </c>
      <c r="H193" t="s">
        <v>481</v>
      </c>
    </row>
    <row r="194" spans="1:8" x14ac:dyDescent="0.3">
      <c r="A194" t="s">
        <v>200</v>
      </c>
      <c r="B194">
        <v>1.3</v>
      </c>
      <c r="C194" t="s">
        <v>480</v>
      </c>
      <c r="D194">
        <v>213.2</v>
      </c>
      <c r="E194">
        <v>51.3</v>
      </c>
      <c r="F194">
        <v>5.4</v>
      </c>
      <c r="G194">
        <v>51</v>
      </c>
      <c r="H194" t="s">
        <v>482</v>
      </c>
    </row>
    <row r="195" spans="1:8" x14ac:dyDescent="0.3">
      <c r="A195" t="s">
        <v>201</v>
      </c>
      <c r="B195">
        <v>1.2</v>
      </c>
      <c r="C195" t="s">
        <v>480</v>
      </c>
      <c r="D195">
        <v>242.3</v>
      </c>
      <c r="E195">
        <v>43.8</v>
      </c>
      <c r="F195">
        <v>5.4</v>
      </c>
      <c r="G195">
        <v>51</v>
      </c>
      <c r="H195" t="s">
        <v>483</v>
      </c>
    </row>
    <row r="196" spans="1:8" x14ac:dyDescent="0.3">
      <c r="A196" t="s">
        <v>202</v>
      </c>
      <c r="B196">
        <v>1.2</v>
      </c>
      <c r="C196" t="s">
        <v>480</v>
      </c>
      <c r="D196">
        <v>266.89999999999998</v>
      </c>
      <c r="E196">
        <v>31</v>
      </c>
      <c r="F196">
        <v>5.4</v>
      </c>
      <c r="G196">
        <v>51</v>
      </c>
      <c r="H196" t="s">
        <v>483</v>
      </c>
    </row>
    <row r="197" spans="1:8" x14ac:dyDescent="0.3">
      <c r="A197" t="s">
        <v>203</v>
      </c>
      <c r="B197">
        <v>1.25</v>
      </c>
      <c r="C197" t="s">
        <v>480</v>
      </c>
      <c r="D197">
        <v>235.5</v>
      </c>
      <c r="E197">
        <v>48</v>
      </c>
      <c r="F197">
        <v>5.4</v>
      </c>
      <c r="G197">
        <v>51</v>
      </c>
      <c r="H197" t="s">
        <v>483</v>
      </c>
    </row>
    <row r="198" spans="1:8" x14ac:dyDescent="0.3">
      <c r="A198" t="s">
        <v>204</v>
      </c>
      <c r="B198">
        <v>1.3</v>
      </c>
      <c r="C198" t="s">
        <v>480</v>
      </c>
      <c r="D198">
        <v>253.7</v>
      </c>
      <c r="E198">
        <v>54.5</v>
      </c>
      <c r="F198">
        <v>5.4</v>
      </c>
      <c r="G198">
        <v>51</v>
      </c>
      <c r="H198" t="s">
        <v>483</v>
      </c>
    </row>
    <row r="199" spans="1:8" x14ac:dyDescent="0.3">
      <c r="A199" t="s">
        <v>205</v>
      </c>
      <c r="B199">
        <v>1.27</v>
      </c>
      <c r="C199" t="s">
        <v>480</v>
      </c>
      <c r="D199">
        <v>201.2</v>
      </c>
      <c r="E199">
        <v>32.700000000000003</v>
      </c>
      <c r="F199">
        <v>5.4</v>
      </c>
      <c r="G199">
        <v>51</v>
      </c>
      <c r="H199" t="s">
        <v>481</v>
      </c>
    </row>
    <row r="200" spans="1:8" x14ac:dyDescent="0.3">
      <c r="A200" t="s">
        <v>206</v>
      </c>
      <c r="B200">
        <v>1.29</v>
      </c>
      <c r="C200" t="s">
        <v>480</v>
      </c>
      <c r="D200">
        <v>186.3</v>
      </c>
      <c r="E200">
        <v>44.3</v>
      </c>
      <c r="F200">
        <v>5.4</v>
      </c>
      <c r="G200">
        <v>51</v>
      </c>
      <c r="H200" t="s">
        <v>481</v>
      </c>
    </row>
    <row r="201" spans="1:8" x14ac:dyDescent="0.3">
      <c r="A201" t="s">
        <v>207</v>
      </c>
      <c r="B201">
        <v>1.23</v>
      </c>
      <c r="C201" t="s">
        <v>480</v>
      </c>
      <c r="D201">
        <v>198.3</v>
      </c>
      <c r="E201">
        <v>26</v>
      </c>
      <c r="F201">
        <v>5.4</v>
      </c>
      <c r="G201">
        <v>51</v>
      </c>
      <c r="H201" t="s">
        <v>481</v>
      </c>
    </row>
    <row r="202" spans="1:8" x14ac:dyDescent="0.3">
      <c r="A202" t="s">
        <v>208</v>
      </c>
      <c r="B202">
        <v>1.25</v>
      </c>
      <c r="C202" t="s">
        <v>480</v>
      </c>
      <c r="D202">
        <v>252.6</v>
      </c>
      <c r="E202">
        <v>21.9</v>
      </c>
      <c r="F202">
        <v>5.3</v>
      </c>
      <c r="G202">
        <v>51</v>
      </c>
      <c r="H202" t="s">
        <v>482</v>
      </c>
    </row>
    <row r="203" spans="1:8" x14ac:dyDescent="0.3">
      <c r="A203" t="s">
        <v>209</v>
      </c>
      <c r="B203">
        <v>1.25</v>
      </c>
      <c r="C203" t="s">
        <v>480</v>
      </c>
      <c r="D203">
        <v>218.3</v>
      </c>
      <c r="E203">
        <v>45.7</v>
      </c>
      <c r="F203">
        <v>5.3</v>
      </c>
      <c r="G203">
        <v>51</v>
      </c>
      <c r="H203" t="s">
        <v>481</v>
      </c>
    </row>
    <row r="204" spans="1:8" x14ac:dyDescent="0.3">
      <c r="A204" t="s">
        <v>210</v>
      </c>
      <c r="B204">
        <v>1.25</v>
      </c>
      <c r="C204" t="s">
        <v>480</v>
      </c>
      <c r="D204">
        <v>206.9</v>
      </c>
      <c r="E204">
        <v>26.7</v>
      </c>
      <c r="F204">
        <v>5.3</v>
      </c>
      <c r="G204">
        <v>51</v>
      </c>
      <c r="H204" t="s">
        <v>481</v>
      </c>
    </row>
    <row r="205" spans="1:8" x14ac:dyDescent="0.3">
      <c r="A205" t="s">
        <v>211</v>
      </c>
      <c r="B205">
        <v>1.3</v>
      </c>
      <c r="C205" t="s">
        <v>480</v>
      </c>
      <c r="D205">
        <v>165.2</v>
      </c>
      <c r="E205">
        <v>66.7</v>
      </c>
      <c r="F205">
        <v>5.3</v>
      </c>
      <c r="G205">
        <v>51</v>
      </c>
      <c r="H205" t="s">
        <v>481</v>
      </c>
    </row>
    <row r="206" spans="1:8" x14ac:dyDescent="0.3">
      <c r="A206" t="s">
        <v>212</v>
      </c>
      <c r="B206">
        <v>1.3</v>
      </c>
      <c r="C206" t="s">
        <v>480</v>
      </c>
      <c r="D206">
        <v>287.5</v>
      </c>
      <c r="E206">
        <v>50.6</v>
      </c>
      <c r="F206">
        <v>5.3</v>
      </c>
      <c r="G206">
        <v>51</v>
      </c>
      <c r="H206" t="s">
        <v>483</v>
      </c>
    </row>
    <row r="207" spans="1:8" x14ac:dyDescent="0.3">
      <c r="A207" t="s">
        <v>213</v>
      </c>
      <c r="B207">
        <v>1.25</v>
      </c>
      <c r="C207" t="s">
        <v>480</v>
      </c>
      <c r="D207">
        <v>193.7</v>
      </c>
      <c r="E207">
        <v>41.2</v>
      </c>
      <c r="F207">
        <v>5.3</v>
      </c>
      <c r="G207">
        <v>51</v>
      </c>
      <c r="H207" t="s">
        <v>481</v>
      </c>
    </row>
    <row r="208" spans="1:8" x14ac:dyDescent="0.3">
      <c r="A208" t="s">
        <v>214</v>
      </c>
      <c r="B208">
        <v>1.3</v>
      </c>
      <c r="C208" t="s">
        <v>480</v>
      </c>
      <c r="D208">
        <v>212.6</v>
      </c>
      <c r="E208">
        <v>28.7</v>
      </c>
      <c r="F208">
        <v>5.3</v>
      </c>
      <c r="G208">
        <v>51</v>
      </c>
      <c r="H208" t="s">
        <v>481</v>
      </c>
    </row>
    <row r="209" spans="1:8" x14ac:dyDescent="0.3">
      <c r="A209" t="s">
        <v>215</v>
      </c>
      <c r="B209">
        <v>1.25</v>
      </c>
      <c r="C209" t="s">
        <v>480</v>
      </c>
      <c r="D209">
        <v>180</v>
      </c>
      <c r="E209">
        <v>47.4</v>
      </c>
      <c r="F209">
        <v>5.3</v>
      </c>
      <c r="G209">
        <v>51</v>
      </c>
      <c r="H209" t="s">
        <v>481</v>
      </c>
    </row>
    <row r="210" spans="1:8" x14ac:dyDescent="0.3">
      <c r="A210" t="s">
        <v>216</v>
      </c>
      <c r="B210">
        <v>1.25</v>
      </c>
      <c r="C210" t="s">
        <v>480</v>
      </c>
      <c r="D210">
        <v>213.2</v>
      </c>
      <c r="E210">
        <v>26.4</v>
      </c>
      <c r="F210">
        <v>5.3</v>
      </c>
      <c r="G210">
        <v>51</v>
      </c>
      <c r="H210" t="s">
        <v>481</v>
      </c>
    </row>
    <row r="211" spans="1:8" x14ac:dyDescent="0.3">
      <c r="A211" t="s">
        <v>217</v>
      </c>
      <c r="B211">
        <v>1.3</v>
      </c>
      <c r="C211" t="s">
        <v>480</v>
      </c>
      <c r="D211">
        <v>184</v>
      </c>
      <c r="E211">
        <v>31.1</v>
      </c>
      <c r="F211">
        <v>5.3</v>
      </c>
      <c r="G211">
        <v>51</v>
      </c>
      <c r="H211" t="s">
        <v>481</v>
      </c>
    </row>
    <row r="212" spans="1:8" x14ac:dyDescent="0.3">
      <c r="A212" t="s">
        <v>218</v>
      </c>
      <c r="B212">
        <v>1.28</v>
      </c>
      <c r="C212" t="s">
        <v>480</v>
      </c>
      <c r="D212">
        <v>208</v>
      </c>
      <c r="E212">
        <v>28.2</v>
      </c>
      <c r="F212">
        <v>5.3</v>
      </c>
      <c r="G212">
        <v>51</v>
      </c>
      <c r="H212" t="s">
        <v>481</v>
      </c>
    </row>
    <row r="213" spans="1:8" x14ac:dyDescent="0.3">
      <c r="A213" t="s">
        <v>219</v>
      </c>
      <c r="B213">
        <v>1.35</v>
      </c>
      <c r="C213" t="s">
        <v>480</v>
      </c>
      <c r="D213">
        <v>184.6</v>
      </c>
      <c r="E213">
        <v>44.2</v>
      </c>
      <c r="F213">
        <v>5.2</v>
      </c>
      <c r="G213">
        <v>51</v>
      </c>
      <c r="H213" t="s">
        <v>481</v>
      </c>
    </row>
    <row r="214" spans="1:8" x14ac:dyDescent="0.3">
      <c r="A214" t="s">
        <v>220</v>
      </c>
      <c r="B214">
        <v>1.3</v>
      </c>
      <c r="C214" t="s">
        <v>480</v>
      </c>
      <c r="D214">
        <v>236.6</v>
      </c>
      <c r="E214">
        <v>38.799999999999997</v>
      </c>
      <c r="F214">
        <v>5.2</v>
      </c>
      <c r="G214">
        <v>51</v>
      </c>
      <c r="H214" t="s">
        <v>482</v>
      </c>
    </row>
    <row r="215" spans="1:8" x14ac:dyDescent="0.3">
      <c r="A215" t="s">
        <v>221</v>
      </c>
      <c r="B215">
        <v>1.3</v>
      </c>
      <c r="C215" t="s">
        <v>480</v>
      </c>
      <c r="D215">
        <v>242.9</v>
      </c>
      <c r="E215">
        <v>37.799999999999997</v>
      </c>
      <c r="F215">
        <v>5.2</v>
      </c>
      <c r="G215">
        <v>51</v>
      </c>
      <c r="H215" t="s">
        <v>483</v>
      </c>
    </row>
    <row r="216" spans="1:8" x14ac:dyDescent="0.3">
      <c r="A216" t="s">
        <v>222</v>
      </c>
      <c r="B216">
        <v>1.2</v>
      </c>
      <c r="C216" t="s">
        <v>480</v>
      </c>
      <c r="D216">
        <v>269.2</v>
      </c>
      <c r="E216">
        <v>44.4</v>
      </c>
      <c r="F216">
        <v>5.2</v>
      </c>
      <c r="G216">
        <v>51</v>
      </c>
      <c r="H216" t="s">
        <v>483</v>
      </c>
    </row>
    <row r="217" spans="1:8" x14ac:dyDescent="0.3">
      <c r="A217" t="s">
        <v>223</v>
      </c>
      <c r="B217">
        <v>1.25</v>
      </c>
      <c r="C217" t="s">
        <v>480</v>
      </c>
      <c r="D217">
        <v>242.3</v>
      </c>
      <c r="E217">
        <v>50.7</v>
      </c>
      <c r="F217">
        <v>5.2</v>
      </c>
      <c r="G217">
        <v>51</v>
      </c>
      <c r="H217" t="s">
        <v>482</v>
      </c>
    </row>
    <row r="218" spans="1:8" x14ac:dyDescent="0.3">
      <c r="A218" t="s">
        <v>224</v>
      </c>
      <c r="B218">
        <v>1.2</v>
      </c>
      <c r="C218" t="s">
        <v>480</v>
      </c>
      <c r="D218">
        <v>188.6</v>
      </c>
      <c r="E218">
        <v>33.299999999999997</v>
      </c>
      <c r="F218">
        <v>5.2</v>
      </c>
      <c r="G218">
        <v>51</v>
      </c>
      <c r="H218" t="s">
        <v>481</v>
      </c>
    </row>
    <row r="219" spans="1:8" x14ac:dyDescent="0.3">
      <c r="A219" t="s">
        <v>225</v>
      </c>
      <c r="B219">
        <v>1.3</v>
      </c>
      <c r="C219" t="s">
        <v>480</v>
      </c>
      <c r="D219">
        <v>251.5</v>
      </c>
      <c r="E219">
        <v>37.6</v>
      </c>
      <c r="F219">
        <v>5.2</v>
      </c>
      <c r="G219">
        <v>51</v>
      </c>
      <c r="H219" t="s">
        <v>481</v>
      </c>
    </row>
    <row r="220" spans="1:8" x14ac:dyDescent="0.3">
      <c r="A220" t="s">
        <v>226</v>
      </c>
      <c r="B220">
        <v>1.18</v>
      </c>
      <c r="C220" t="s">
        <v>480</v>
      </c>
      <c r="D220">
        <v>216</v>
      </c>
      <c r="E220">
        <v>63.1</v>
      </c>
      <c r="F220">
        <v>5.2</v>
      </c>
      <c r="G220">
        <v>51</v>
      </c>
      <c r="H220" t="s">
        <v>483</v>
      </c>
    </row>
    <row r="221" spans="1:8" x14ac:dyDescent="0.3">
      <c r="A221" t="s">
        <v>227</v>
      </c>
      <c r="B221">
        <v>1.25</v>
      </c>
      <c r="C221" t="s">
        <v>480</v>
      </c>
      <c r="D221">
        <v>264.60000000000002</v>
      </c>
      <c r="E221">
        <v>44.8</v>
      </c>
      <c r="F221">
        <v>5.2</v>
      </c>
      <c r="G221">
        <v>51</v>
      </c>
      <c r="H221" t="s">
        <v>483</v>
      </c>
    </row>
    <row r="222" spans="1:8" x14ac:dyDescent="0.3">
      <c r="A222" t="s">
        <v>228</v>
      </c>
      <c r="B222">
        <v>1.2</v>
      </c>
      <c r="C222" t="s">
        <v>480</v>
      </c>
      <c r="D222">
        <v>209.2</v>
      </c>
      <c r="E222">
        <v>37.799999999999997</v>
      </c>
      <c r="F222">
        <v>5.2</v>
      </c>
      <c r="G222">
        <v>51</v>
      </c>
      <c r="H222" t="s">
        <v>481</v>
      </c>
    </row>
    <row r="223" spans="1:8" x14ac:dyDescent="0.3">
      <c r="A223" t="s">
        <v>229</v>
      </c>
      <c r="B223">
        <v>1.23</v>
      </c>
      <c r="C223" t="s">
        <v>480</v>
      </c>
      <c r="D223">
        <v>225.2</v>
      </c>
      <c r="E223">
        <v>42.4</v>
      </c>
      <c r="F223">
        <v>5.2</v>
      </c>
      <c r="G223">
        <v>51</v>
      </c>
      <c r="H223" t="s">
        <v>482</v>
      </c>
    </row>
    <row r="224" spans="1:8" x14ac:dyDescent="0.3">
      <c r="A224" t="s">
        <v>230</v>
      </c>
      <c r="B224">
        <v>1.3</v>
      </c>
      <c r="C224" t="s">
        <v>480</v>
      </c>
      <c r="D224">
        <v>277.7</v>
      </c>
      <c r="E224">
        <v>37.799999999999997</v>
      </c>
      <c r="F224">
        <v>5.2</v>
      </c>
      <c r="G224">
        <v>51</v>
      </c>
      <c r="H224" t="s">
        <v>483</v>
      </c>
    </row>
    <row r="225" spans="1:8" x14ac:dyDescent="0.3">
      <c r="A225" t="s">
        <v>231</v>
      </c>
      <c r="B225">
        <v>1.2</v>
      </c>
      <c r="C225" t="s">
        <v>480</v>
      </c>
      <c r="D225">
        <v>196</v>
      </c>
      <c r="E225">
        <v>31.9</v>
      </c>
      <c r="F225">
        <v>5.2</v>
      </c>
      <c r="G225">
        <v>51</v>
      </c>
      <c r="H225" t="s">
        <v>481</v>
      </c>
    </row>
    <row r="226" spans="1:8" x14ac:dyDescent="0.3">
      <c r="A226" t="s">
        <v>232</v>
      </c>
      <c r="B226">
        <v>1.25</v>
      </c>
      <c r="C226" t="s">
        <v>480</v>
      </c>
      <c r="D226">
        <v>172</v>
      </c>
      <c r="E226">
        <v>28.7</v>
      </c>
      <c r="F226">
        <v>5.2</v>
      </c>
      <c r="G226">
        <v>51</v>
      </c>
      <c r="H226" t="s">
        <v>481</v>
      </c>
    </row>
    <row r="227" spans="1:8" x14ac:dyDescent="0.3">
      <c r="A227" t="s">
        <v>233</v>
      </c>
      <c r="B227">
        <v>1.2</v>
      </c>
      <c r="C227" t="s">
        <v>480</v>
      </c>
      <c r="D227">
        <v>241.7</v>
      </c>
      <c r="E227">
        <v>45.6</v>
      </c>
      <c r="F227">
        <v>5.0999999999999996</v>
      </c>
      <c r="G227">
        <v>51</v>
      </c>
      <c r="H227" t="s">
        <v>483</v>
      </c>
    </row>
    <row r="228" spans="1:8" x14ac:dyDescent="0.3">
      <c r="A228" t="s">
        <v>234</v>
      </c>
      <c r="B228">
        <v>1.3</v>
      </c>
      <c r="C228" t="s">
        <v>480</v>
      </c>
      <c r="D228">
        <v>256.60000000000002</v>
      </c>
      <c r="E228">
        <v>45.5</v>
      </c>
      <c r="F228">
        <v>5.0999999999999996</v>
      </c>
      <c r="G228">
        <v>51</v>
      </c>
      <c r="H228" t="s">
        <v>482</v>
      </c>
    </row>
    <row r="229" spans="1:8" x14ac:dyDescent="0.3">
      <c r="A229" t="s">
        <v>235</v>
      </c>
      <c r="B229">
        <v>1.25</v>
      </c>
      <c r="C229" t="s">
        <v>480</v>
      </c>
      <c r="D229">
        <v>205.2</v>
      </c>
      <c r="E229">
        <v>52.7</v>
      </c>
      <c r="F229">
        <v>5.0999999999999996</v>
      </c>
      <c r="G229">
        <v>51</v>
      </c>
      <c r="H229" t="s">
        <v>481</v>
      </c>
    </row>
    <row r="230" spans="1:8" x14ac:dyDescent="0.3">
      <c r="A230" t="s">
        <v>236</v>
      </c>
      <c r="B230">
        <v>1.2</v>
      </c>
      <c r="C230" t="s">
        <v>480</v>
      </c>
      <c r="D230">
        <v>184.6</v>
      </c>
      <c r="E230">
        <v>33.700000000000003</v>
      </c>
      <c r="F230">
        <v>5.0999999999999996</v>
      </c>
      <c r="G230">
        <v>51</v>
      </c>
      <c r="H230" t="s">
        <v>481</v>
      </c>
    </row>
    <row r="231" spans="1:8" x14ac:dyDescent="0.3">
      <c r="A231" t="s">
        <v>237</v>
      </c>
      <c r="B231">
        <v>1.3</v>
      </c>
      <c r="C231" t="s">
        <v>480</v>
      </c>
      <c r="D231">
        <v>276.60000000000002</v>
      </c>
      <c r="E231">
        <v>26.6</v>
      </c>
      <c r="F231">
        <v>5.0999999999999996</v>
      </c>
      <c r="G231">
        <v>51</v>
      </c>
      <c r="H231" t="s">
        <v>482</v>
      </c>
    </row>
    <row r="232" spans="1:8" x14ac:dyDescent="0.3">
      <c r="A232" t="s">
        <v>238</v>
      </c>
      <c r="B232">
        <v>1.26</v>
      </c>
      <c r="C232" t="s">
        <v>480</v>
      </c>
      <c r="D232">
        <v>192</v>
      </c>
      <c r="E232">
        <v>32.4</v>
      </c>
      <c r="F232">
        <v>5.0999999999999996</v>
      </c>
      <c r="G232">
        <v>51</v>
      </c>
      <c r="H232" t="s">
        <v>481</v>
      </c>
    </row>
    <row r="233" spans="1:8" x14ac:dyDescent="0.3">
      <c r="A233" t="s">
        <v>239</v>
      </c>
      <c r="B233">
        <v>1.3</v>
      </c>
      <c r="C233" t="s">
        <v>480</v>
      </c>
      <c r="D233">
        <v>242.3</v>
      </c>
      <c r="E233">
        <v>47.4</v>
      </c>
      <c r="F233">
        <v>5.0999999999999996</v>
      </c>
      <c r="G233">
        <v>51</v>
      </c>
      <c r="H233" t="s">
        <v>482</v>
      </c>
    </row>
    <row r="234" spans="1:8" x14ac:dyDescent="0.3">
      <c r="A234" t="s">
        <v>240</v>
      </c>
      <c r="B234">
        <v>1.3</v>
      </c>
      <c r="C234" t="s">
        <v>480</v>
      </c>
      <c r="D234">
        <v>172</v>
      </c>
      <c r="E234">
        <v>53</v>
      </c>
      <c r="F234">
        <v>5.0999999999999996</v>
      </c>
      <c r="G234">
        <v>51</v>
      </c>
      <c r="H234" t="s">
        <v>481</v>
      </c>
    </row>
    <row r="235" spans="1:8" x14ac:dyDescent="0.3">
      <c r="A235" t="s">
        <v>241</v>
      </c>
      <c r="B235">
        <v>1.3</v>
      </c>
      <c r="C235" t="s">
        <v>480</v>
      </c>
      <c r="D235">
        <v>225.2</v>
      </c>
      <c r="E235">
        <v>46.9</v>
      </c>
      <c r="F235">
        <v>5.0999999999999996</v>
      </c>
      <c r="G235">
        <v>51</v>
      </c>
      <c r="H235" t="s">
        <v>482</v>
      </c>
    </row>
    <row r="236" spans="1:8" x14ac:dyDescent="0.3">
      <c r="A236" t="s">
        <v>242</v>
      </c>
      <c r="B236">
        <v>1.35</v>
      </c>
      <c r="C236" t="s">
        <v>480</v>
      </c>
      <c r="D236">
        <v>238.9</v>
      </c>
      <c r="E236">
        <v>23.7</v>
      </c>
      <c r="F236">
        <v>5.0999999999999996</v>
      </c>
      <c r="G236">
        <v>51</v>
      </c>
      <c r="H236" t="s">
        <v>481</v>
      </c>
    </row>
    <row r="237" spans="1:8" x14ac:dyDescent="0.3">
      <c r="A237" t="s">
        <v>243</v>
      </c>
      <c r="B237">
        <v>1.2</v>
      </c>
      <c r="C237" t="s">
        <v>480</v>
      </c>
      <c r="D237">
        <v>206.9</v>
      </c>
      <c r="E237">
        <v>47.3</v>
      </c>
      <c r="F237">
        <v>5.0999999999999996</v>
      </c>
      <c r="G237">
        <v>51</v>
      </c>
      <c r="H237" t="s">
        <v>482</v>
      </c>
    </row>
    <row r="238" spans="1:8" x14ac:dyDescent="0.3">
      <c r="A238" t="s">
        <v>244</v>
      </c>
      <c r="B238">
        <v>1.3</v>
      </c>
      <c r="C238" t="s">
        <v>480</v>
      </c>
      <c r="D238">
        <v>204</v>
      </c>
      <c r="E238">
        <v>41.7</v>
      </c>
      <c r="F238">
        <v>5.0999999999999996</v>
      </c>
      <c r="G238">
        <v>51</v>
      </c>
      <c r="H238" t="s">
        <v>482</v>
      </c>
    </row>
    <row r="239" spans="1:8" x14ac:dyDescent="0.3">
      <c r="A239" t="s">
        <v>245</v>
      </c>
      <c r="B239">
        <v>1.3</v>
      </c>
      <c r="C239" t="s">
        <v>480</v>
      </c>
      <c r="D239">
        <v>201.2</v>
      </c>
      <c r="E239">
        <v>49.1</v>
      </c>
      <c r="F239">
        <v>5.0999999999999996</v>
      </c>
      <c r="G239">
        <v>51</v>
      </c>
      <c r="H239" t="s">
        <v>481</v>
      </c>
    </row>
    <row r="240" spans="1:8" x14ac:dyDescent="0.3">
      <c r="A240" t="s">
        <v>246</v>
      </c>
      <c r="B240">
        <v>1.2</v>
      </c>
      <c r="C240" t="s">
        <v>480</v>
      </c>
      <c r="D240">
        <v>182.9</v>
      </c>
      <c r="E240">
        <v>36.700000000000003</v>
      </c>
      <c r="F240">
        <v>5.0999999999999996</v>
      </c>
      <c r="G240">
        <v>51</v>
      </c>
      <c r="H240" t="s">
        <v>481</v>
      </c>
    </row>
    <row r="241" spans="1:8" x14ac:dyDescent="0.3">
      <c r="A241" t="s">
        <v>247</v>
      </c>
      <c r="B241">
        <v>1.2</v>
      </c>
      <c r="C241" t="s">
        <v>480</v>
      </c>
      <c r="D241">
        <v>189.2</v>
      </c>
      <c r="E241">
        <v>36.1</v>
      </c>
      <c r="F241">
        <v>5.0999999999999996</v>
      </c>
      <c r="G241">
        <v>51</v>
      </c>
      <c r="H241" t="s">
        <v>481</v>
      </c>
    </row>
    <row r="242" spans="1:8" x14ac:dyDescent="0.3">
      <c r="A242" t="s">
        <v>248</v>
      </c>
      <c r="B242">
        <v>1.1200000000000001</v>
      </c>
      <c r="C242" t="s">
        <v>480</v>
      </c>
      <c r="D242">
        <v>180</v>
      </c>
      <c r="E242">
        <v>40.4</v>
      </c>
      <c r="F242">
        <v>5.0999999999999996</v>
      </c>
      <c r="G242">
        <v>51</v>
      </c>
      <c r="H242" t="s">
        <v>481</v>
      </c>
    </row>
    <row r="243" spans="1:8" x14ac:dyDescent="0.3">
      <c r="A243" t="s">
        <v>249</v>
      </c>
      <c r="B243">
        <v>1.3</v>
      </c>
      <c r="C243" t="s">
        <v>480</v>
      </c>
      <c r="D243">
        <v>291.5</v>
      </c>
      <c r="E243">
        <v>39</v>
      </c>
      <c r="F243">
        <v>5</v>
      </c>
      <c r="G243">
        <v>51</v>
      </c>
      <c r="H243" t="s">
        <v>483</v>
      </c>
    </row>
    <row r="244" spans="1:8" x14ac:dyDescent="0.3">
      <c r="A244" t="s">
        <v>250</v>
      </c>
      <c r="B244">
        <v>1.18</v>
      </c>
      <c r="C244" t="s">
        <v>480</v>
      </c>
      <c r="D244">
        <v>222.9</v>
      </c>
      <c r="E244">
        <v>39.799999999999997</v>
      </c>
      <c r="F244">
        <v>5</v>
      </c>
      <c r="G244">
        <v>51</v>
      </c>
      <c r="H244" t="s">
        <v>482</v>
      </c>
    </row>
    <row r="245" spans="1:8" x14ac:dyDescent="0.3">
      <c r="A245" t="s">
        <v>251</v>
      </c>
      <c r="B245">
        <v>1.25</v>
      </c>
      <c r="C245" t="s">
        <v>480</v>
      </c>
      <c r="D245">
        <v>274.3</v>
      </c>
      <c r="E245">
        <v>39</v>
      </c>
      <c r="F245">
        <v>5</v>
      </c>
      <c r="G245">
        <v>51</v>
      </c>
      <c r="H245" t="s">
        <v>483</v>
      </c>
    </row>
    <row r="246" spans="1:8" x14ac:dyDescent="0.3">
      <c r="A246" t="s">
        <v>252</v>
      </c>
      <c r="B246">
        <v>1.25</v>
      </c>
      <c r="C246" t="s">
        <v>480</v>
      </c>
      <c r="D246">
        <v>221.7</v>
      </c>
      <c r="E246">
        <v>38</v>
      </c>
      <c r="F246">
        <v>5</v>
      </c>
      <c r="G246">
        <v>51</v>
      </c>
      <c r="H246" t="s">
        <v>482</v>
      </c>
    </row>
    <row r="247" spans="1:8" x14ac:dyDescent="0.3">
      <c r="A247" t="s">
        <v>253</v>
      </c>
      <c r="B247">
        <v>1.25</v>
      </c>
      <c r="C247" t="s">
        <v>480</v>
      </c>
      <c r="D247">
        <v>195.5</v>
      </c>
      <c r="E247">
        <v>36.9</v>
      </c>
      <c r="F247">
        <v>5</v>
      </c>
      <c r="G247">
        <v>51</v>
      </c>
      <c r="H247" t="s">
        <v>481</v>
      </c>
    </row>
    <row r="248" spans="1:8" x14ac:dyDescent="0.3">
      <c r="A248" t="s">
        <v>254</v>
      </c>
      <c r="B248">
        <v>1.25</v>
      </c>
      <c r="C248" t="s">
        <v>480</v>
      </c>
      <c r="D248">
        <v>168.6</v>
      </c>
      <c r="E248">
        <v>64.900000000000006</v>
      </c>
      <c r="F248">
        <v>5</v>
      </c>
      <c r="G248">
        <v>51</v>
      </c>
      <c r="H248" t="s">
        <v>481</v>
      </c>
    </row>
    <row r="249" spans="1:8" x14ac:dyDescent="0.3">
      <c r="A249" t="s">
        <v>255</v>
      </c>
      <c r="B249">
        <v>1.1499999999999999</v>
      </c>
      <c r="C249" t="s">
        <v>480</v>
      </c>
      <c r="D249">
        <v>217.2</v>
      </c>
      <c r="E249">
        <v>36.299999999999997</v>
      </c>
      <c r="F249">
        <v>5</v>
      </c>
      <c r="G249">
        <v>51</v>
      </c>
      <c r="H249" t="s">
        <v>481</v>
      </c>
    </row>
    <row r="250" spans="1:8" x14ac:dyDescent="0.3">
      <c r="A250" t="s">
        <v>256</v>
      </c>
      <c r="B250">
        <v>1.3</v>
      </c>
      <c r="C250" t="s">
        <v>480</v>
      </c>
      <c r="D250">
        <v>281.8</v>
      </c>
      <c r="E250">
        <v>54.3</v>
      </c>
      <c r="F250">
        <v>5</v>
      </c>
      <c r="G250">
        <v>51</v>
      </c>
      <c r="H250" t="s">
        <v>483</v>
      </c>
    </row>
    <row r="251" spans="1:8" x14ac:dyDescent="0.3">
      <c r="A251" t="s">
        <v>257</v>
      </c>
      <c r="B251">
        <v>1.25</v>
      </c>
      <c r="C251" t="s">
        <v>480</v>
      </c>
      <c r="D251">
        <v>264.60000000000002</v>
      </c>
      <c r="E251">
        <v>50.5</v>
      </c>
      <c r="F251">
        <v>5</v>
      </c>
      <c r="G251">
        <v>51</v>
      </c>
      <c r="H251" t="s">
        <v>483</v>
      </c>
    </row>
    <row r="252" spans="1:8" x14ac:dyDescent="0.3">
      <c r="A252" t="s">
        <v>258</v>
      </c>
      <c r="B252">
        <v>1.3</v>
      </c>
      <c r="C252" t="s">
        <v>480</v>
      </c>
      <c r="D252">
        <v>172.6</v>
      </c>
      <c r="E252">
        <v>54.5</v>
      </c>
      <c r="F252">
        <v>5</v>
      </c>
      <c r="G252">
        <v>51</v>
      </c>
      <c r="H252" t="s">
        <v>481</v>
      </c>
    </row>
    <row r="253" spans="1:8" x14ac:dyDescent="0.3">
      <c r="A253" t="s">
        <v>259</v>
      </c>
      <c r="B253">
        <v>1.2</v>
      </c>
      <c r="C253" t="s">
        <v>480</v>
      </c>
      <c r="D253">
        <v>194.3</v>
      </c>
      <c r="E253">
        <v>28.7</v>
      </c>
      <c r="F253">
        <v>5</v>
      </c>
      <c r="G253">
        <v>51</v>
      </c>
      <c r="H253" t="s">
        <v>481</v>
      </c>
    </row>
    <row r="254" spans="1:8" x14ac:dyDescent="0.3">
      <c r="A254" t="s">
        <v>260</v>
      </c>
      <c r="B254">
        <v>1.3</v>
      </c>
      <c r="C254" t="s">
        <v>480</v>
      </c>
      <c r="D254">
        <v>213.7</v>
      </c>
      <c r="E254">
        <v>28.1</v>
      </c>
      <c r="F254">
        <v>5</v>
      </c>
      <c r="G254">
        <v>51</v>
      </c>
      <c r="H254" t="s">
        <v>481</v>
      </c>
    </row>
    <row r="255" spans="1:8" x14ac:dyDescent="0.3">
      <c r="A255" t="s">
        <v>261</v>
      </c>
      <c r="B255">
        <v>1.25</v>
      </c>
      <c r="C255" t="s">
        <v>480</v>
      </c>
      <c r="D255">
        <v>208</v>
      </c>
      <c r="E255">
        <v>34.299999999999997</v>
      </c>
      <c r="F255">
        <v>5</v>
      </c>
      <c r="G255">
        <v>51</v>
      </c>
      <c r="H255" t="s">
        <v>481</v>
      </c>
    </row>
    <row r="256" spans="1:8" x14ac:dyDescent="0.3">
      <c r="A256" t="s">
        <v>262</v>
      </c>
      <c r="B256">
        <v>1.25</v>
      </c>
      <c r="C256" t="s">
        <v>480</v>
      </c>
      <c r="D256">
        <v>192.6</v>
      </c>
      <c r="E256">
        <v>39.799999999999997</v>
      </c>
      <c r="F256">
        <v>5</v>
      </c>
      <c r="G256">
        <v>51</v>
      </c>
      <c r="H256" t="s">
        <v>481</v>
      </c>
    </row>
    <row r="257" spans="1:8" x14ac:dyDescent="0.3">
      <c r="A257" t="s">
        <v>263</v>
      </c>
      <c r="B257">
        <v>1.3</v>
      </c>
      <c r="C257" t="s">
        <v>480</v>
      </c>
      <c r="D257">
        <v>210.3</v>
      </c>
      <c r="E257">
        <v>47.5</v>
      </c>
      <c r="F257">
        <v>4.9000000000000004</v>
      </c>
      <c r="G257">
        <v>51</v>
      </c>
      <c r="H257" t="s">
        <v>481</v>
      </c>
    </row>
    <row r="258" spans="1:8" x14ac:dyDescent="0.3">
      <c r="A258" t="s">
        <v>264</v>
      </c>
      <c r="B258">
        <v>1.3</v>
      </c>
      <c r="C258" t="s">
        <v>480</v>
      </c>
      <c r="D258">
        <v>232</v>
      </c>
      <c r="E258">
        <v>34.799999999999997</v>
      </c>
      <c r="F258">
        <v>4.9000000000000004</v>
      </c>
      <c r="G258">
        <v>51</v>
      </c>
      <c r="H258" t="s">
        <v>481</v>
      </c>
    </row>
    <row r="259" spans="1:8" x14ac:dyDescent="0.3">
      <c r="A259" t="s">
        <v>265</v>
      </c>
      <c r="B259">
        <v>1.25</v>
      </c>
      <c r="C259" t="s">
        <v>480</v>
      </c>
      <c r="D259">
        <v>200</v>
      </c>
      <c r="E259">
        <v>46.1</v>
      </c>
      <c r="F259">
        <v>4.9000000000000004</v>
      </c>
      <c r="G259">
        <v>51</v>
      </c>
      <c r="H259" t="s">
        <v>481</v>
      </c>
    </row>
    <row r="260" spans="1:8" x14ac:dyDescent="0.3">
      <c r="A260" t="s">
        <v>266</v>
      </c>
      <c r="B260">
        <v>1.25</v>
      </c>
      <c r="C260" t="s">
        <v>480</v>
      </c>
      <c r="D260">
        <v>282.3</v>
      </c>
      <c r="E260">
        <v>33.6</v>
      </c>
      <c r="F260">
        <v>4.9000000000000004</v>
      </c>
      <c r="G260">
        <v>51</v>
      </c>
      <c r="H260" t="s">
        <v>483</v>
      </c>
    </row>
    <row r="261" spans="1:8" x14ac:dyDescent="0.3">
      <c r="A261" t="s">
        <v>267</v>
      </c>
      <c r="B261">
        <v>1.4</v>
      </c>
      <c r="C261" t="s">
        <v>480</v>
      </c>
      <c r="D261">
        <v>212</v>
      </c>
      <c r="E261">
        <v>41.7</v>
      </c>
      <c r="F261">
        <v>4.9000000000000004</v>
      </c>
      <c r="G261">
        <v>51</v>
      </c>
      <c r="H261" t="s">
        <v>481</v>
      </c>
    </row>
    <row r="262" spans="1:8" x14ac:dyDescent="0.3">
      <c r="A262" t="s">
        <v>268</v>
      </c>
      <c r="B262">
        <v>1.2</v>
      </c>
      <c r="C262" t="s">
        <v>480</v>
      </c>
      <c r="D262">
        <v>263.5</v>
      </c>
      <c r="E262">
        <v>35.700000000000003</v>
      </c>
      <c r="F262">
        <v>4.9000000000000004</v>
      </c>
      <c r="G262">
        <v>51</v>
      </c>
      <c r="H262" t="s">
        <v>483</v>
      </c>
    </row>
    <row r="263" spans="1:8" x14ac:dyDescent="0.3">
      <c r="A263" t="s">
        <v>269</v>
      </c>
      <c r="B263">
        <v>1.1499999999999999</v>
      </c>
      <c r="C263" t="s">
        <v>480</v>
      </c>
      <c r="D263">
        <v>236</v>
      </c>
      <c r="E263">
        <v>32.700000000000003</v>
      </c>
      <c r="F263">
        <v>4.9000000000000004</v>
      </c>
      <c r="G263">
        <v>51</v>
      </c>
      <c r="H263" t="s">
        <v>482</v>
      </c>
    </row>
    <row r="264" spans="1:8" x14ac:dyDescent="0.3">
      <c r="A264" t="s">
        <v>270</v>
      </c>
      <c r="B264">
        <v>1.25</v>
      </c>
      <c r="C264" t="s">
        <v>480</v>
      </c>
      <c r="D264">
        <v>208</v>
      </c>
      <c r="E264">
        <v>28.9</v>
      </c>
      <c r="F264">
        <v>4.9000000000000004</v>
      </c>
      <c r="G264">
        <v>51</v>
      </c>
      <c r="H264" t="s">
        <v>481</v>
      </c>
    </row>
    <row r="265" spans="1:8" x14ac:dyDescent="0.3">
      <c r="A265" t="s">
        <v>271</v>
      </c>
      <c r="B265">
        <v>1.3</v>
      </c>
      <c r="C265" t="s">
        <v>480</v>
      </c>
      <c r="D265">
        <v>209.7</v>
      </c>
      <c r="E265">
        <v>51.5</v>
      </c>
      <c r="F265">
        <v>4.9000000000000004</v>
      </c>
      <c r="G265">
        <v>51</v>
      </c>
      <c r="H265" t="s">
        <v>482</v>
      </c>
    </row>
    <row r="266" spans="1:8" x14ac:dyDescent="0.3">
      <c r="A266" t="s">
        <v>272</v>
      </c>
      <c r="B266">
        <v>1.2</v>
      </c>
      <c r="C266" t="s">
        <v>480</v>
      </c>
      <c r="D266">
        <v>201.2</v>
      </c>
      <c r="E266">
        <v>23.9</v>
      </c>
      <c r="F266">
        <v>4.9000000000000004</v>
      </c>
      <c r="G266">
        <v>51</v>
      </c>
      <c r="H266" t="s">
        <v>481</v>
      </c>
    </row>
    <row r="267" spans="1:8" x14ac:dyDescent="0.3">
      <c r="A267" t="s">
        <v>273</v>
      </c>
      <c r="B267">
        <v>1.3</v>
      </c>
      <c r="C267" t="s">
        <v>480</v>
      </c>
      <c r="D267">
        <v>256</v>
      </c>
      <c r="E267">
        <v>43.8</v>
      </c>
      <c r="F267">
        <v>4.9000000000000004</v>
      </c>
      <c r="G267">
        <v>51</v>
      </c>
      <c r="H267" t="s">
        <v>482</v>
      </c>
    </row>
    <row r="268" spans="1:8" x14ac:dyDescent="0.3">
      <c r="A268" t="s">
        <v>274</v>
      </c>
      <c r="B268">
        <v>1.2</v>
      </c>
      <c r="C268" t="s">
        <v>480</v>
      </c>
      <c r="D268">
        <v>233.7</v>
      </c>
      <c r="E268">
        <v>42.3</v>
      </c>
      <c r="F268">
        <v>4.9000000000000004</v>
      </c>
      <c r="G268">
        <v>51</v>
      </c>
      <c r="H268" t="s">
        <v>483</v>
      </c>
    </row>
    <row r="269" spans="1:8" x14ac:dyDescent="0.3">
      <c r="A269" t="s">
        <v>275</v>
      </c>
      <c r="B269">
        <v>1.28</v>
      </c>
      <c r="C269" t="s">
        <v>480</v>
      </c>
      <c r="D269">
        <v>200</v>
      </c>
      <c r="E269">
        <v>35.200000000000003</v>
      </c>
      <c r="F269">
        <v>4.9000000000000004</v>
      </c>
      <c r="G269">
        <v>51</v>
      </c>
      <c r="H269" t="s">
        <v>481</v>
      </c>
    </row>
    <row r="270" spans="1:8" x14ac:dyDescent="0.3">
      <c r="A270" t="s">
        <v>276</v>
      </c>
      <c r="B270">
        <v>1.1499999999999999</v>
      </c>
      <c r="C270" t="s">
        <v>480</v>
      </c>
      <c r="D270">
        <v>192</v>
      </c>
      <c r="E270">
        <v>32.799999999999997</v>
      </c>
      <c r="F270">
        <v>4.9000000000000004</v>
      </c>
      <c r="G270">
        <v>51</v>
      </c>
      <c r="H270" t="s">
        <v>481</v>
      </c>
    </row>
    <row r="271" spans="1:8" x14ac:dyDescent="0.3">
      <c r="A271" t="s">
        <v>277</v>
      </c>
      <c r="B271">
        <v>1.2</v>
      </c>
      <c r="C271" t="s">
        <v>480</v>
      </c>
      <c r="D271">
        <v>186.9</v>
      </c>
      <c r="E271">
        <v>53.1</v>
      </c>
      <c r="F271">
        <v>4.8</v>
      </c>
      <c r="G271">
        <v>51</v>
      </c>
      <c r="H271" t="s">
        <v>482</v>
      </c>
    </row>
    <row r="272" spans="1:8" x14ac:dyDescent="0.3">
      <c r="A272" t="s">
        <v>278</v>
      </c>
      <c r="B272">
        <v>1.18</v>
      </c>
      <c r="C272" t="s">
        <v>480</v>
      </c>
      <c r="D272">
        <v>246.3</v>
      </c>
      <c r="E272">
        <v>47.7</v>
      </c>
      <c r="F272">
        <v>4.8</v>
      </c>
      <c r="G272">
        <v>51</v>
      </c>
      <c r="H272" t="s">
        <v>483</v>
      </c>
    </row>
    <row r="273" spans="1:8" x14ac:dyDescent="0.3">
      <c r="A273" t="s">
        <v>279</v>
      </c>
      <c r="B273">
        <v>1.25</v>
      </c>
      <c r="C273" t="s">
        <v>480</v>
      </c>
      <c r="D273">
        <v>205.7</v>
      </c>
      <c r="E273">
        <v>50.9</v>
      </c>
      <c r="F273">
        <v>4.8</v>
      </c>
      <c r="G273">
        <v>51</v>
      </c>
      <c r="H273" t="s">
        <v>482</v>
      </c>
    </row>
    <row r="274" spans="1:8" x14ac:dyDescent="0.3">
      <c r="A274" t="s">
        <v>280</v>
      </c>
      <c r="B274">
        <v>1.23</v>
      </c>
      <c r="C274" t="s">
        <v>480</v>
      </c>
      <c r="D274">
        <v>235.5</v>
      </c>
      <c r="E274">
        <v>43.9</v>
      </c>
      <c r="F274">
        <v>4.8</v>
      </c>
      <c r="G274">
        <v>51</v>
      </c>
      <c r="H274" t="s">
        <v>482</v>
      </c>
    </row>
    <row r="275" spans="1:8" x14ac:dyDescent="0.3">
      <c r="A275" t="s">
        <v>281</v>
      </c>
      <c r="B275">
        <v>1.25</v>
      </c>
      <c r="C275" t="s">
        <v>480</v>
      </c>
      <c r="D275">
        <v>294.3</v>
      </c>
      <c r="E275">
        <v>36.200000000000003</v>
      </c>
      <c r="F275">
        <v>4.8</v>
      </c>
      <c r="G275">
        <v>51</v>
      </c>
      <c r="H275" t="s">
        <v>483</v>
      </c>
    </row>
    <row r="276" spans="1:8" x14ac:dyDescent="0.3">
      <c r="A276" t="s">
        <v>282</v>
      </c>
      <c r="B276">
        <v>1.3</v>
      </c>
      <c r="C276" t="s">
        <v>480</v>
      </c>
      <c r="D276">
        <v>185.2</v>
      </c>
      <c r="E276">
        <v>46.5</v>
      </c>
      <c r="F276">
        <v>4.8</v>
      </c>
      <c r="G276">
        <v>51</v>
      </c>
      <c r="H276" t="s">
        <v>481</v>
      </c>
    </row>
    <row r="277" spans="1:8" x14ac:dyDescent="0.3">
      <c r="A277" t="s">
        <v>283</v>
      </c>
      <c r="B277">
        <v>1.2</v>
      </c>
      <c r="C277" t="s">
        <v>480</v>
      </c>
      <c r="D277">
        <v>244.6</v>
      </c>
      <c r="E277">
        <v>41</v>
      </c>
      <c r="F277">
        <v>4.8</v>
      </c>
      <c r="G277">
        <v>51</v>
      </c>
      <c r="H277" t="s">
        <v>483</v>
      </c>
    </row>
    <row r="278" spans="1:8" x14ac:dyDescent="0.3">
      <c r="A278" t="s">
        <v>284</v>
      </c>
      <c r="B278">
        <v>1.25</v>
      </c>
      <c r="C278" t="s">
        <v>480</v>
      </c>
      <c r="D278">
        <v>233.7</v>
      </c>
      <c r="E278">
        <v>51</v>
      </c>
      <c r="F278">
        <v>4.8</v>
      </c>
      <c r="G278">
        <v>51</v>
      </c>
      <c r="H278" t="s">
        <v>482</v>
      </c>
    </row>
    <row r="279" spans="1:8" x14ac:dyDescent="0.3">
      <c r="A279" t="s">
        <v>285</v>
      </c>
      <c r="B279">
        <v>1.2</v>
      </c>
      <c r="C279" t="s">
        <v>480</v>
      </c>
      <c r="D279">
        <v>225.7</v>
      </c>
      <c r="E279">
        <v>36.4</v>
      </c>
      <c r="F279">
        <v>4.8</v>
      </c>
      <c r="G279">
        <v>51</v>
      </c>
      <c r="H279" t="s">
        <v>481</v>
      </c>
    </row>
    <row r="280" spans="1:8" x14ac:dyDescent="0.3">
      <c r="A280" t="s">
        <v>286</v>
      </c>
      <c r="B280">
        <v>1.2</v>
      </c>
      <c r="C280" t="s">
        <v>480</v>
      </c>
      <c r="D280">
        <v>257.7</v>
      </c>
      <c r="E280">
        <v>42.6</v>
      </c>
      <c r="F280">
        <v>4.8</v>
      </c>
      <c r="G280">
        <v>51</v>
      </c>
      <c r="H280" t="s">
        <v>483</v>
      </c>
    </row>
    <row r="281" spans="1:8" x14ac:dyDescent="0.3">
      <c r="A281" t="s">
        <v>287</v>
      </c>
      <c r="B281">
        <v>1.3</v>
      </c>
      <c r="C281" t="s">
        <v>480</v>
      </c>
      <c r="D281">
        <v>233.7</v>
      </c>
      <c r="E281">
        <v>37.799999999999997</v>
      </c>
      <c r="F281">
        <v>4.8</v>
      </c>
      <c r="G281">
        <v>51</v>
      </c>
      <c r="H281" t="s">
        <v>482</v>
      </c>
    </row>
    <row r="282" spans="1:8" x14ac:dyDescent="0.3">
      <c r="A282" t="s">
        <v>288</v>
      </c>
      <c r="B282">
        <v>1.19</v>
      </c>
      <c r="C282" t="s">
        <v>480</v>
      </c>
      <c r="D282">
        <v>241.2</v>
      </c>
      <c r="E282">
        <v>36.4</v>
      </c>
      <c r="F282">
        <v>4.8</v>
      </c>
      <c r="G282">
        <v>51</v>
      </c>
      <c r="H282" t="s">
        <v>482</v>
      </c>
    </row>
    <row r="283" spans="1:8" x14ac:dyDescent="0.3">
      <c r="A283" t="s">
        <v>289</v>
      </c>
      <c r="B283">
        <v>1.3</v>
      </c>
      <c r="C283" t="s">
        <v>480</v>
      </c>
      <c r="D283">
        <v>233.2</v>
      </c>
      <c r="E283">
        <v>35.799999999999997</v>
      </c>
      <c r="F283">
        <v>4.8</v>
      </c>
      <c r="G283">
        <v>51</v>
      </c>
      <c r="H283" t="s">
        <v>481</v>
      </c>
    </row>
    <row r="284" spans="1:8" x14ac:dyDescent="0.3">
      <c r="A284" t="s">
        <v>290</v>
      </c>
      <c r="B284">
        <v>1.3</v>
      </c>
      <c r="C284" t="s">
        <v>480</v>
      </c>
      <c r="D284">
        <v>284.60000000000002</v>
      </c>
      <c r="E284">
        <v>39.799999999999997</v>
      </c>
      <c r="F284">
        <v>4.8</v>
      </c>
      <c r="G284">
        <v>51</v>
      </c>
      <c r="H284" t="s">
        <v>483</v>
      </c>
    </row>
    <row r="285" spans="1:8" x14ac:dyDescent="0.3">
      <c r="A285" t="s">
        <v>291</v>
      </c>
      <c r="B285">
        <v>1.2</v>
      </c>
      <c r="C285" t="s">
        <v>480</v>
      </c>
      <c r="D285">
        <v>193.2</v>
      </c>
      <c r="E285">
        <v>46</v>
      </c>
      <c r="F285">
        <v>4.8</v>
      </c>
      <c r="G285">
        <v>51</v>
      </c>
      <c r="H285" t="s">
        <v>481</v>
      </c>
    </row>
    <row r="286" spans="1:8" x14ac:dyDescent="0.3">
      <c r="A286" t="s">
        <v>292</v>
      </c>
      <c r="B286">
        <v>1.2</v>
      </c>
      <c r="C286" t="s">
        <v>480</v>
      </c>
      <c r="D286">
        <v>169.7</v>
      </c>
      <c r="E286">
        <v>62.4</v>
      </c>
      <c r="F286">
        <v>4.8</v>
      </c>
      <c r="G286">
        <v>51</v>
      </c>
      <c r="H286" t="s">
        <v>481</v>
      </c>
    </row>
    <row r="287" spans="1:8" x14ac:dyDescent="0.3">
      <c r="A287" t="s">
        <v>293</v>
      </c>
      <c r="B287">
        <v>1.25</v>
      </c>
      <c r="C287" t="s">
        <v>480</v>
      </c>
      <c r="D287">
        <v>270.89999999999998</v>
      </c>
      <c r="E287">
        <v>24.7</v>
      </c>
      <c r="F287">
        <v>4.8</v>
      </c>
      <c r="G287">
        <v>51</v>
      </c>
      <c r="H287" t="s">
        <v>483</v>
      </c>
    </row>
    <row r="288" spans="1:8" x14ac:dyDescent="0.3">
      <c r="A288" t="s">
        <v>294</v>
      </c>
      <c r="B288">
        <v>1.25</v>
      </c>
      <c r="C288" t="s">
        <v>480</v>
      </c>
      <c r="D288">
        <v>240.6</v>
      </c>
      <c r="E288">
        <v>46</v>
      </c>
      <c r="F288">
        <v>4.8</v>
      </c>
      <c r="G288">
        <v>51</v>
      </c>
      <c r="H288" t="s">
        <v>483</v>
      </c>
    </row>
    <row r="289" spans="1:8" x14ac:dyDescent="0.3">
      <c r="A289" t="s">
        <v>295</v>
      </c>
      <c r="B289">
        <v>1.3</v>
      </c>
      <c r="C289" t="s">
        <v>480</v>
      </c>
      <c r="D289">
        <v>207.5</v>
      </c>
      <c r="E289">
        <v>31.3</v>
      </c>
      <c r="F289">
        <v>4.8</v>
      </c>
      <c r="G289">
        <v>51</v>
      </c>
      <c r="H289" t="s">
        <v>481</v>
      </c>
    </row>
    <row r="290" spans="1:8" x14ac:dyDescent="0.3">
      <c r="A290" t="s">
        <v>296</v>
      </c>
      <c r="B290">
        <v>1.2</v>
      </c>
      <c r="C290" t="s">
        <v>480</v>
      </c>
      <c r="D290">
        <v>185.2</v>
      </c>
      <c r="E290">
        <v>28.7</v>
      </c>
      <c r="F290">
        <v>4.8</v>
      </c>
      <c r="G290">
        <v>51</v>
      </c>
      <c r="H290" t="s">
        <v>481</v>
      </c>
    </row>
    <row r="291" spans="1:8" x14ac:dyDescent="0.3">
      <c r="A291" t="s">
        <v>297</v>
      </c>
      <c r="B291">
        <v>1.25</v>
      </c>
      <c r="C291" t="s">
        <v>480</v>
      </c>
      <c r="D291">
        <v>242.9</v>
      </c>
      <c r="E291">
        <v>31</v>
      </c>
      <c r="F291">
        <v>4.7</v>
      </c>
      <c r="G291">
        <v>51</v>
      </c>
      <c r="H291" t="s">
        <v>483</v>
      </c>
    </row>
    <row r="292" spans="1:8" x14ac:dyDescent="0.3">
      <c r="A292" t="s">
        <v>298</v>
      </c>
      <c r="B292">
        <v>1.24</v>
      </c>
      <c r="C292" t="s">
        <v>480</v>
      </c>
      <c r="D292">
        <v>238.9</v>
      </c>
      <c r="E292">
        <v>32.200000000000003</v>
      </c>
      <c r="F292">
        <v>4.7</v>
      </c>
      <c r="G292">
        <v>51</v>
      </c>
      <c r="H292" t="s">
        <v>482</v>
      </c>
    </row>
    <row r="293" spans="1:8" x14ac:dyDescent="0.3">
      <c r="A293" t="s">
        <v>299</v>
      </c>
      <c r="B293">
        <v>1.3</v>
      </c>
      <c r="C293" t="s">
        <v>480</v>
      </c>
      <c r="D293">
        <v>212</v>
      </c>
      <c r="E293">
        <v>56.1</v>
      </c>
      <c r="F293">
        <v>4.7</v>
      </c>
      <c r="G293">
        <v>51</v>
      </c>
      <c r="H293" t="s">
        <v>483</v>
      </c>
    </row>
    <row r="294" spans="1:8" x14ac:dyDescent="0.3">
      <c r="A294" t="s">
        <v>300</v>
      </c>
      <c r="B294">
        <v>1.3</v>
      </c>
      <c r="C294" t="s">
        <v>480</v>
      </c>
      <c r="D294">
        <v>260</v>
      </c>
      <c r="E294">
        <v>49.8</v>
      </c>
      <c r="F294">
        <v>4.7</v>
      </c>
      <c r="G294">
        <v>51</v>
      </c>
      <c r="H294" t="s">
        <v>483</v>
      </c>
    </row>
    <row r="295" spans="1:8" x14ac:dyDescent="0.3">
      <c r="A295" t="s">
        <v>301</v>
      </c>
      <c r="B295">
        <v>1.1499999999999999</v>
      </c>
      <c r="C295" t="s">
        <v>480</v>
      </c>
      <c r="D295">
        <v>264</v>
      </c>
      <c r="E295">
        <v>36.4</v>
      </c>
      <c r="F295">
        <v>4.7</v>
      </c>
      <c r="G295">
        <v>51</v>
      </c>
      <c r="H295" t="s">
        <v>483</v>
      </c>
    </row>
    <row r="296" spans="1:8" x14ac:dyDescent="0.3">
      <c r="A296" t="s">
        <v>302</v>
      </c>
      <c r="B296">
        <v>1.3</v>
      </c>
      <c r="C296" t="s">
        <v>480</v>
      </c>
      <c r="D296">
        <v>249.7</v>
      </c>
      <c r="E296">
        <v>30.7</v>
      </c>
      <c r="F296">
        <v>4.7</v>
      </c>
      <c r="G296">
        <v>51</v>
      </c>
      <c r="H296" t="s">
        <v>481</v>
      </c>
    </row>
    <row r="297" spans="1:8" x14ac:dyDescent="0.3">
      <c r="A297" t="s">
        <v>303</v>
      </c>
      <c r="B297">
        <v>1.3</v>
      </c>
      <c r="C297" t="s">
        <v>480</v>
      </c>
      <c r="D297">
        <v>242.9</v>
      </c>
      <c r="E297">
        <v>45.6</v>
      </c>
      <c r="F297">
        <v>4.7</v>
      </c>
      <c r="G297">
        <v>51</v>
      </c>
      <c r="H297" t="s">
        <v>483</v>
      </c>
    </row>
    <row r="298" spans="1:8" x14ac:dyDescent="0.3">
      <c r="A298" t="s">
        <v>304</v>
      </c>
      <c r="B298">
        <v>1.25</v>
      </c>
      <c r="C298" t="s">
        <v>480</v>
      </c>
      <c r="D298">
        <v>256</v>
      </c>
      <c r="E298">
        <v>38.700000000000003</v>
      </c>
      <c r="F298">
        <v>4.7</v>
      </c>
      <c r="G298">
        <v>51</v>
      </c>
      <c r="H298" t="s">
        <v>482</v>
      </c>
    </row>
    <row r="299" spans="1:8" x14ac:dyDescent="0.3">
      <c r="A299" t="s">
        <v>305</v>
      </c>
      <c r="B299">
        <v>1.3</v>
      </c>
      <c r="C299" t="s">
        <v>480</v>
      </c>
      <c r="D299">
        <v>186.9</v>
      </c>
      <c r="E299">
        <v>51.8</v>
      </c>
      <c r="F299">
        <v>4.7</v>
      </c>
      <c r="G299">
        <v>51</v>
      </c>
      <c r="H299" t="s">
        <v>481</v>
      </c>
    </row>
    <row r="300" spans="1:8" x14ac:dyDescent="0.3">
      <c r="A300" t="s">
        <v>306</v>
      </c>
      <c r="B300">
        <v>1.25</v>
      </c>
      <c r="C300" t="s">
        <v>480</v>
      </c>
      <c r="D300">
        <v>201.2</v>
      </c>
      <c r="E300">
        <v>44.9</v>
      </c>
      <c r="F300">
        <v>4.7</v>
      </c>
      <c r="G300">
        <v>51</v>
      </c>
      <c r="H300" t="s">
        <v>481</v>
      </c>
    </row>
    <row r="301" spans="1:8" x14ac:dyDescent="0.3">
      <c r="A301" t="s">
        <v>307</v>
      </c>
      <c r="B301">
        <v>1.3</v>
      </c>
      <c r="C301" t="s">
        <v>480</v>
      </c>
      <c r="D301">
        <v>280.60000000000002</v>
      </c>
      <c r="E301">
        <v>45.9</v>
      </c>
      <c r="F301">
        <v>4.7</v>
      </c>
      <c r="G301">
        <v>51</v>
      </c>
      <c r="H301" t="s">
        <v>483</v>
      </c>
    </row>
    <row r="302" spans="1:8" x14ac:dyDescent="0.3">
      <c r="A302" t="s">
        <v>308</v>
      </c>
      <c r="B302">
        <v>1.3</v>
      </c>
      <c r="C302" t="s">
        <v>480</v>
      </c>
      <c r="D302">
        <v>274.89999999999998</v>
      </c>
      <c r="E302">
        <v>35.799999999999997</v>
      </c>
      <c r="F302">
        <v>4.7</v>
      </c>
      <c r="G302">
        <v>51</v>
      </c>
      <c r="H302" t="s">
        <v>483</v>
      </c>
    </row>
    <row r="303" spans="1:8" x14ac:dyDescent="0.3">
      <c r="A303" t="s">
        <v>309</v>
      </c>
      <c r="B303">
        <v>1.2</v>
      </c>
      <c r="C303" t="s">
        <v>480</v>
      </c>
      <c r="D303">
        <v>205.2</v>
      </c>
      <c r="E303">
        <v>45.7</v>
      </c>
      <c r="F303">
        <v>4.5999999999999996</v>
      </c>
      <c r="G303">
        <v>51</v>
      </c>
      <c r="H303" t="s">
        <v>483</v>
      </c>
    </row>
    <row r="304" spans="1:8" x14ac:dyDescent="0.3">
      <c r="A304" t="s">
        <v>310</v>
      </c>
      <c r="B304">
        <v>1.4</v>
      </c>
      <c r="C304" t="s">
        <v>480</v>
      </c>
      <c r="D304">
        <v>259.5</v>
      </c>
      <c r="E304">
        <v>55.1</v>
      </c>
      <c r="F304">
        <v>4.5999999999999996</v>
      </c>
      <c r="G304">
        <v>51</v>
      </c>
      <c r="H304" t="s">
        <v>482</v>
      </c>
    </row>
    <row r="305" spans="1:8" x14ac:dyDescent="0.3">
      <c r="A305" t="s">
        <v>311</v>
      </c>
      <c r="B305">
        <v>1.24</v>
      </c>
      <c r="C305" t="s">
        <v>480</v>
      </c>
      <c r="D305">
        <v>199.5</v>
      </c>
      <c r="E305">
        <v>51.7</v>
      </c>
      <c r="F305">
        <v>4.5999999999999996</v>
      </c>
      <c r="G305">
        <v>51</v>
      </c>
      <c r="H305" t="s">
        <v>482</v>
      </c>
    </row>
    <row r="306" spans="1:8" x14ac:dyDescent="0.3">
      <c r="A306" t="s">
        <v>312</v>
      </c>
      <c r="B306">
        <v>1.35</v>
      </c>
      <c r="C306" t="s">
        <v>480</v>
      </c>
      <c r="D306">
        <v>245.2</v>
      </c>
      <c r="E306">
        <v>46.7</v>
      </c>
      <c r="F306">
        <v>4.5999999999999996</v>
      </c>
      <c r="G306">
        <v>51</v>
      </c>
      <c r="H306" t="s">
        <v>482</v>
      </c>
    </row>
    <row r="307" spans="1:8" x14ac:dyDescent="0.3">
      <c r="A307" t="s">
        <v>313</v>
      </c>
      <c r="B307">
        <v>1.1499999999999999</v>
      </c>
      <c r="C307" t="s">
        <v>480</v>
      </c>
      <c r="D307">
        <v>202.9</v>
      </c>
      <c r="E307">
        <v>40.700000000000003</v>
      </c>
      <c r="F307">
        <v>4.5999999999999996</v>
      </c>
      <c r="G307">
        <v>51</v>
      </c>
      <c r="H307" t="s">
        <v>481</v>
      </c>
    </row>
    <row r="308" spans="1:8" x14ac:dyDescent="0.3">
      <c r="A308" t="s">
        <v>314</v>
      </c>
      <c r="B308">
        <v>1.3</v>
      </c>
      <c r="C308" t="s">
        <v>480</v>
      </c>
      <c r="D308">
        <v>251.5</v>
      </c>
      <c r="E308">
        <v>40.200000000000003</v>
      </c>
      <c r="F308">
        <v>4.5999999999999996</v>
      </c>
      <c r="G308">
        <v>51</v>
      </c>
      <c r="H308" t="s">
        <v>482</v>
      </c>
    </row>
    <row r="309" spans="1:8" x14ac:dyDescent="0.3">
      <c r="A309" t="s">
        <v>315</v>
      </c>
      <c r="B309">
        <v>1.25</v>
      </c>
      <c r="C309" t="s">
        <v>480</v>
      </c>
      <c r="D309">
        <v>225.2</v>
      </c>
      <c r="E309">
        <v>62.6</v>
      </c>
      <c r="F309">
        <v>4.5999999999999996</v>
      </c>
      <c r="G309">
        <v>51</v>
      </c>
      <c r="H309" t="s">
        <v>483</v>
      </c>
    </row>
    <row r="310" spans="1:8" x14ac:dyDescent="0.3">
      <c r="A310" t="s">
        <v>316</v>
      </c>
      <c r="B310">
        <v>1.3</v>
      </c>
      <c r="C310" t="s">
        <v>480</v>
      </c>
      <c r="D310">
        <v>290.3</v>
      </c>
      <c r="E310">
        <v>34.299999999999997</v>
      </c>
      <c r="F310">
        <v>4.5999999999999996</v>
      </c>
      <c r="G310">
        <v>51</v>
      </c>
      <c r="H310" t="s">
        <v>483</v>
      </c>
    </row>
    <row r="311" spans="1:8" x14ac:dyDescent="0.3">
      <c r="A311" t="s">
        <v>317</v>
      </c>
      <c r="B311">
        <v>1.25</v>
      </c>
      <c r="C311" t="s">
        <v>480</v>
      </c>
      <c r="D311">
        <v>282.89999999999998</v>
      </c>
      <c r="E311">
        <v>32.700000000000003</v>
      </c>
      <c r="F311">
        <v>4.5999999999999996</v>
      </c>
      <c r="G311">
        <v>51</v>
      </c>
      <c r="H311" t="s">
        <v>483</v>
      </c>
    </row>
    <row r="312" spans="1:8" x14ac:dyDescent="0.3">
      <c r="A312" t="s">
        <v>318</v>
      </c>
      <c r="B312">
        <v>1.2</v>
      </c>
      <c r="C312" t="s">
        <v>480</v>
      </c>
      <c r="D312">
        <v>190.9</v>
      </c>
      <c r="E312">
        <v>58.6</v>
      </c>
      <c r="F312">
        <v>4.5999999999999996</v>
      </c>
      <c r="G312">
        <v>51</v>
      </c>
      <c r="H312" t="s">
        <v>483</v>
      </c>
    </row>
    <row r="313" spans="1:8" x14ac:dyDescent="0.3">
      <c r="A313" t="s">
        <v>319</v>
      </c>
      <c r="B313">
        <v>1.25</v>
      </c>
      <c r="C313" t="s">
        <v>480</v>
      </c>
      <c r="D313">
        <v>199.5</v>
      </c>
      <c r="E313">
        <v>27.9</v>
      </c>
      <c r="F313">
        <v>4.5999999999999996</v>
      </c>
      <c r="G313">
        <v>51</v>
      </c>
      <c r="H313" t="s">
        <v>481</v>
      </c>
    </row>
    <row r="314" spans="1:8" x14ac:dyDescent="0.3">
      <c r="A314" t="s">
        <v>320</v>
      </c>
      <c r="B314">
        <v>1.25</v>
      </c>
      <c r="C314" t="s">
        <v>480</v>
      </c>
      <c r="D314">
        <v>210.9</v>
      </c>
      <c r="E314">
        <v>44.3</v>
      </c>
      <c r="F314">
        <v>4.5999999999999996</v>
      </c>
      <c r="G314">
        <v>51</v>
      </c>
      <c r="H314" t="s">
        <v>481</v>
      </c>
    </row>
    <row r="315" spans="1:8" x14ac:dyDescent="0.3">
      <c r="A315" t="s">
        <v>321</v>
      </c>
      <c r="B315">
        <v>1.25</v>
      </c>
      <c r="C315" t="s">
        <v>480</v>
      </c>
      <c r="D315">
        <v>208</v>
      </c>
      <c r="E315">
        <v>45.7</v>
      </c>
      <c r="F315">
        <v>4.5</v>
      </c>
      <c r="G315">
        <v>51</v>
      </c>
      <c r="H315" t="s">
        <v>481</v>
      </c>
    </row>
    <row r="316" spans="1:8" x14ac:dyDescent="0.3">
      <c r="A316" t="s">
        <v>322</v>
      </c>
      <c r="B316">
        <v>1.3</v>
      </c>
      <c r="C316" t="s">
        <v>480</v>
      </c>
      <c r="D316">
        <v>206.3</v>
      </c>
      <c r="E316">
        <v>45</v>
      </c>
      <c r="F316">
        <v>4.5</v>
      </c>
      <c r="G316">
        <v>51</v>
      </c>
      <c r="H316" t="s">
        <v>481</v>
      </c>
    </row>
    <row r="317" spans="1:8" x14ac:dyDescent="0.3">
      <c r="A317" t="s">
        <v>323</v>
      </c>
      <c r="B317">
        <v>1.1499999999999999</v>
      </c>
      <c r="C317" t="s">
        <v>480</v>
      </c>
      <c r="D317">
        <v>182.9</v>
      </c>
      <c r="E317">
        <v>46.4</v>
      </c>
      <c r="F317">
        <v>4.5</v>
      </c>
      <c r="G317">
        <v>51</v>
      </c>
      <c r="H317" t="s">
        <v>481</v>
      </c>
    </row>
    <row r="318" spans="1:8" x14ac:dyDescent="0.3">
      <c r="A318" t="s">
        <v>324</v>
      </c>
      <c r="B318">
        <v>1.2</v>
      </c>
      <c r="C318" t="s">
        <v>480</v>
      </c>
      <c r="D318">
        <v>232</v>
      </c>
      <c r="E318">
        <v>45.6</v>
      </c>
      <c r="F318">
        <v>4.5</v>
      </c>
      <c r="G318">
        <v>51</v>
      </c>
      <c r="H318" t="s">
        <v>482</v>
      </c>
    </row>
    <row r="319" spans="1:8" x14ac:dyDescent="0.3">
      <c r="A319" t="s">
        <v>325</v>
      </c>
      <c r="B319">
        <v>1.2</v>
      </c>
      <c r="C319" t="s">
        <v>480</v>
      </c>
      <c r="D319">
        <v>306.89999999999998</v>
      </c>
      <c r="E319">
        <v>36.1</v>
      </c>
      <c r="F319">
        <v>4.5</v>
      </c>
      <c r="G319">
        <v>51</v>
      </c>
      <c r="H319" t="s">
        <v>483</v>
      </c>
    </row>
    <row r="320" spans="1:8" x14ac:dyDescent="0.3">
      <c r="A320" t="s">
        <v>326</v>
      </c>
      <c r="B320">
        <v>1.2</v>
      </c>
      <c r="C320" t="s">
        <v>480</v>
      </c>
      <c r="D320">
        <v>282.3</v>
      </c>
      <c r="E320">
        <v>41.7</v>
      </c>
      <c r="F320">
        <v>4.5</v>
      </c>
      <c r="G320">
        <v>51</v>
      </c>
      <c r="H320" t="s">
        <v>483</v>
      </c>
    </row>
    <row r="321" spans="1:8" x14ac:dyDescent="0.3">
      <c r="A321" t="s">
        <v>327</v>
      </c>
      <c r="B321">
        <v>1.2</v>
      </c>
      <c r="C321" t="s">
        <v>480</v>
      </c>
      <c r="D321">
        <v>296.60000000000002</v>
      </c>
      <c r="E321">
        <v>35.700000000000003</v>
      </c>
      <c r="F321">
        <v>4.5</v>
      </c>
      <c r="G321">
        <v>51</v>
      </c>
      <c r="H321" t="s">
        <v>483</v>
      </c>
    </row>
    <row r="322" spans="1:8" x14ac:dyDescent="0.3">
      <c r="A322" t="s">
        <v>328</v>
      </c>
      <c r="B322">
        <v>1.25</v>
      </c>
      <c r="C322" t="s">
        <v>480</v>
      </c>
      <c r="D322">
        <v>233.2</v>
      </c>
      <c r="E322">
        <v>47</v>
      </c>
      <c r="F322">
        <v>4.5</v>
      </c>
      <c r="G322">
        <v>51</v>
      </c>
      <c r="H322" t="s">
        <v>482</v>
      </c>
    </row>
    <row r="323" spans="1:8" x14ac:dyDescent="0.3">
      <c r="A323" t="s">
        <v>329</v>
      </c>
      <c r="B323">
        <v>1.3</v>
      </c>
      <c r="C323" t="s">
        <v>480</v>
      </c>
      <c r="D323">
        <v>256.60000000000002</v>
      </c>
      <c r="E323">
        <v>50.7</v>
      </c>
      <c r="F323">
        <v>4.5</v>
      </c>
      <c r="G323">
        <v>51</v>
      </c>
      <c r="H323" t="s">
        <v>483</v>
      </c>
    </row>
    <row r="324" spans="1:8" x14ac:dyDescent="0.3">
      <c r="A324" t="s">
        <v>330</v>
      </c>
      <c r="B324">
        <v>1.3</v>
      </c>
      <c r="C324" t="s">
        <v>480</v>
      </c>
      <c r="D324">
        <v>256.60000000000002</v>
      </c>
      <c r="E324">
        <v>44.6</v>
      </c>
      <c r="F324">
        <v>4.5</v>
      </c>
      <c r="G324">
        <v>51</v>
      </c>
      <c r="H324" t="s">
        <v>483</v>
      </c>
    </row>
    <row r="325" spans="1:8" x14ac:dyDescent="0.3">
      <c r="A325" t="s">
        <v>331</v>
      </c>
      <c r="B325">
        <v>1.3</v>
      </c>
      <c r="C325" t="s">
        <v>480</v>
      </c>
      <c r="D325">
        <v>279.5</v>
      </c>
      <c r="E325">
        <v>45.3</v>
      </c>
      <c r="F325">
        <v>4.5</v>
      </c>
      <c r="G325">
        <v>51</v>
      </c>
      <c r="H325" t="s">
        <v>483</v>
      </c>
    </row>
    <row r="326" spans="1:8" x14ac:dyDescent="0.3">
      <c r="A326" t="s">
        <v>332</v>
      </c>
      <c r="B326">
        <v>1.25</v>
      </c>
      <c r="C326" t="s">
        <v>480</v>
      </c>
      <c r="D326">
        <v>232.6</v>
      </c>
      <c r="E326">
        <v>54.5</v>
      </c>
      <c r="F326">
        <v>4.4000000000000004</v>
      </c>
      <c r="G326">
        <v>51</v>
      </c>
      <c r="H326" t="s">
        <v>483</v>
      </c>
    </row>
    <row r="327" spans="1:8" x14ac:dyDescent="0.3">
      <c r="A327" t="s">
        <v>333</v>
      </c>
      <c r="B327">
        <v>1.25</v>
      </c>
      <c r="C327" t="s">
        <v>480</v>
      </c>
      <c r="D327">
        <v>236</v>
      </c>
      <c r="E327">
        <v>51.1</v>
      </c>
      <c r="F327">
        <v>4.4000000000000004</v>
      </c>
      <c r="G327">
        <v>51</v>
      </c>
      <c r="H327" t="s">
        <v>482</v>
      </c>
    </row>
    <row r="328" spans="1:8" x14ac:dyDescent="0.3">
      <c r="A328" t="s">
        <v>334</v>
      </c>
      <c r="B328">
        <v>1.2</v>
      </c>
      <c r="C328" t="s">
        <v>480</v>
      </c>
      <c r="D328">
        <v>282.3</v>
      </c>
      <c r="E328">
        <v>31.7</v>
      </c>
      <c r="F328">
        <v>4.4000000000000004</v>
      </c>
      <c r="G328">
        <v>51</v>
      </c>
      <c r="H328" t="s">
        <v>483</v>
      </c>
    </row>
    <row r="329" spans="1:8" x14ac:dyDescent="0.3">
      <c r="A329" t="s">
        <v>335</v>
      </c>
      <c r="B329">
        <v>1.25</v>
      </c>
      <c r="C329" t="s">
        <v>480</v>
      </c>
      <c r="D329">
        <v>224.6</v>
      </c>
      <c r="E329">
        <v>47.8</v>
      </c>
      <c r="F329">
        <v>4.4000000000000004</v>
      </c>
      <c r="G329">
        <v>51</v>
      </c>
      <c r="H329" t="s">
        <v>481</v>
      </c>
    </row>
    <row r="330" spans="1:8" x14ac:dyDescent="0.3">
      <c r="A330" t="s">
        <v>336</v>
      </c>
      <c r="B330">
        <v>1.2</v>
      </c>
      <c r="C330" t="s">
        <v>480</v>
      </c>
      <c r="D330">
        <v>235.5</v>
      </c>
      <c r="E330">
        <v>43.3</v>
      </c>
      <c r="F330">
        <v>4.4000000000000004</v>
      </c>
      <c r="G330">
        <v>51</v>
      </c>
      <c r="H330" t="s">
        <v>482</v>
      </c>
    </row>
    <row r="331" spans="1:8" x14ac:dyDescent="0.3">
      <c r="A331" t="s">
        <v>337</v>
      </c>
      <c r="B331">
        <v>1.25</v>
      </c>
      <c r="C331" t="s">
        <v>480</v>
      </c>
      <c r="D331">
        <v>182.3</v>
      </c>
      <c r="E331">
        <v>60.9</v>
      </c>
      <c r="F331">
        <v>4.4000000000000004</v>
      </c>
      <c r="G331">
        <v>51</v>
      </c>
      <c r="H331" t="s">
        <v>482</v>
      </c>
    </row>
    <row r="332" spans="1:8" x14ac:dyDescent="0.3">
      <c r="A332" t="s">
        <v>338</v>
      </c>
      <c r="B332">
        <v>1.3</v>
      </c>
      <c r="C332" t="s">
        <v>480</v>
      </c>
      <c r="D332">
        <v>214.3</v>
      </c>
      <c r="E332">
        <v>40.200000000000003</v>
      </c>
      <c r="F332">
        <v>4.4000000000000004</v>
      </c>
      <c r="G332">
        <v>51</v>
      </c>
      <c r="H332" t="s">
        <v>481</v>
      </c>
    </row>
    <row r="333" spans="1:8" x14ac:dyDescent="0.3">
      <c r="A333" t="s">
        <v>339</v>
      </c>
      <c r="B333">
        <v>1.25</v>
      </c>
      <c r="C333" t="s">
        <v>480</v>
      </c>
      <c r="D333">
        <v>170.3</v>
      </c>
      <c r="E333">
        <v>59.8</v>
      </c>
      <c r="F333">
        <v>4.4000000000000004</v>
      </c>
      <c r="G333">
        <v>51</v>
      </c>
      <c r="H333" t="s">
        <v>481</v>
      </c>
    </row>
    <row r="334" spans="1:8" x14ac:dyDescent="0.3">
      <c r="A334" t="s">
        <v>340</v>
      </c>
      <c r="B334">
        <v>1.17</v>
      </c>
      <c r="C334" t="s">
        <v>480</v>
      </c>
      <c r="D334">
        <v>216</v>
      </c>
      <c r="E334">
        <v>45.5</v>
      </c>
      <c r="F334">
        <v>4.4000000000000004</v>
      </c>
      <c r="G334">
        <v>51</v>
      </c>
      <c r="H334" t="s">
        <v>482</v>
      </c>
    </row>
    <row r="335" spans="1:8" x14ac:dyDescent="0.3">
      <c r="A335" t="s">
        <v>341</v>
      </c>
      <c r="B335">
        <v>1.3</v>
      </c>
      <c r="C335" t="s">
        <v>480</v>
      </c>
      <c r="D335">
        <v>188.6</v>
      </c>
      <c r="E335">
        <v>59.3</v>
      </c>
      <c r="F335">
        <v>4.4000000000000004</v>
      </c>
      <c r="G335">
        <v>51</v>
      </c>
      <c r="H335" t="s">
        <v>482</v>
      </c>
    </row>
    <row r="336" spans="1:8" x14ac:dyDescent="0.3">
      <c r="A336" t="s">
        <v>342</v>
      </c>
      <c r="B336">
        <v>1.1499999999999999</v>
      </c>
      <c r="C336" t="s">
        <v>480</v>
      </c>
      <c r="D336">
        <v>235.5</v>
      </c>
      <c r="E336">
        <v>50.2</v>
      </c>
      <c r="F336">
        <v>4.4000000000000004</v>
      </c>
      <c r="G336">
        <v>51</v>
      </c>
      <c r="H336" t="s">
        <v>483</v>
      </c>
    </row>
    <row r="337" spans="1:8" x14ac:dyDescent="0.3">
      <c r="A337" t="s">
        <v>343</v>
      </c>
      <c r="B337">
        <v>1.29</v>
      </c>
      <c r="C337" t="s">
        <v>480</v>
      </c>
      <c r="D337">
        <v>219.5</v>
      </c>
      <c r="E337">
        <v>25</v>
      </c>
      <c r="F337">
        <v>4.4000000000000004</v>
      </c>
      <c r="G337">
        <v>51</v>
      </c>
      <c r="H337" t="s">
        <v>481</v>
      </c>
    </row>
    <row r="338" spans="1:8" x14ac:dyDescent="0.3">
      <c r="A338" t="s">
        <v>344</v>
      </c>
      <c r="B338">
        <v>1.3</v>
      </c>
      <c r="C338" t="s">
        <v>480</v>
      </c>
      <c r="D338">
        <v>237.7</v>
      </c>
      <c r="E338">
        <v>56.4</v>
      </c>
      <c r="F338">
        <v>4.3</v>
      </c>
      <c r="G338">
        <v>51</v>
      </c>
      <c r="H338" t="s">
        <v>483</v>
      </c>
    </row>
    <row r="339" spans="1:8" x14ac:dyDescent="0.3">
      <c r="A339" t="s">
        <v>345</v>
      </c>
      <c r="B339">
        <v>1.3</v>
      </c>
      <c r="C339" t="s">
        <v>480</v>
      </c>
      <c r="D339">
        <v>261.7</v>
      </c>
      <c r="E339">
        <v>34.6</v>
      </c>
      <c r="F339">
        <v>4.3</v>
      </c>
      <c r="G339">
        <v>51</v>
      </c>
      <c r="H339" t="s">
        <v>482</v>
      </c>
    </row>
    <row r="340" spans="1:8" x14ac:dyDescent="0.3">
      <c r="A340" t="s">
        <v>346</v>
      </c>
      <c r="B340">
        <v>1.25</v>
      </c>
      <c r="C340" t="s">
        <v>480</v>
      </c>
      <c r="D340">
        <v>209.7</v>
      </c>
      <c r="E340">
        <v>63.8</v>
      </c>
      <c r="F340">
        <v>4.3</v>
      </c>
      <c r="G340">
        <v>51</v>
      </c>
      <c r="H340" t="s">
        <v>483</v>
      </c>
    </row>
    <row r="341" spans="1:8" x14ac:dyDescent="0.3">
      <c r="A341" t="s">
        <v>347</v>
      </c>
      <c r="B341">
        <v>1.2</v>
      </c>
      <c r="C341" t="s">
        <v>480</v>
      </c>
      <c r="D341">
        <v>203.5</v>
      </c>
      <c r="E341">
        <v>42.8</v>
      </c>
      <c r="F341">
        <v>4.3</v>
      </c>
      <c r="G341">
        <v>51</v>
      </c>
      <c r="H341" t="s">
        <v>482</v>
      </c>
    </row>
    <row r="342" spans="1:8" x14ac:dyDescent="0.3">
      <c r="A342" t="s">
        <v>348</v>
      </c>
      <c r="B342">
        <v>1.24</v>
      </c>
      <c r="C342" t="s">
        <v>480</v>
      </c>
      <c r="D342">
        <v>208</v>
      </c>
      <c r="E342">
        <v>48.8</v>
      </c>
      <c r="F342">
        <v>4.3</v>
      </c>
      <c r="G342">
        <v>51</v>
      </c>
      <c r="H342" t="s">
        <v>481</v>
      </c>
    </row>
    <row r="343" spans="1:8" x14ac:dyDescent="0.3">
      <c r="A343" t="s">
        <v>349</v>
      </c>
      <c r="B343">
        <v>1.25</v>
      </c>
      <c r="C343" t="s">
        <v>480</v>
      </c>
      <c r="D343">
        <v>225.7</v>
      </c>
      <c r="E343">
        <v>44.6</v>
      </c>
      <c r="F343">
        <v>4.3</v>
      </c>
      <c r="G343">
        <v>51</v>
      </c>
      <c r="H343" t="s">
        <v>482</v>
      </c>
    </row>
    <row r="344" spans="1:8" x14ac:dyDescent="0.3">
      <c r="A344" t="s">
        <v>350</v>
      </c>
      <c r="B344">
        <v>1.25</v>
      </c>
      <c r="C344" t="s">
        <v>480</v>
      </c>
      <c r="D344">
        <v>253.7</v>
      </c>
      <c r="E344">
        <v>26.4</v>
      </c>
      <c r="F344">
        <v>4.3</v>
      </c>
      <c r="G344">
        <v>51</v>
      </c>
      <c r="H344" t="s">
        <v>481</v>
      </c>
    </row>
    <row r="345" spans="1:8" x14ac:dyDescent="0.3">
      <c r="A345" t="s">
        <v>351</v>
      </c>
      <c r="B345">
        <v>1.25</v>
      </c>
      <c r="C345" t="s">
        <v>480</v>
      </c>
      <c r="D345">
        <v>246.3</v>
      </c>
      <c r="E345">
        <v>40.9</v>
      </c>
      <c r="F345">
        <v>4.3</v>
      </c>
      <c r="G345">
        <v>51</v>
      </c>
      <c r="H345" t="s">
        <v>481</v>
      </c>
    </row>
    <row r="346" spans="1:8" x14ac:dyDescent="0.3">
      <c r="A346" t="s">
        <v>352</v>
      </c>
      <c r="B346">
        <v>1.3</v>
      </c>
      <c r="C346" t="s">
        <v>480</v>
      </c>
      <c r="D346">
        <v>160.6</v>
      </c>
      <c r="E346">
        <v>57</v>
      </c>
      <c r="F346">
        <v>4.2</v>
      </c>
      <c r="G346">
        <v>51</v>
      </c>
      <c r="H346" t="s">
        <v>481</v>
      </c>
    </row>
    <row r="347" spans="1:8" x14ac:dyDescent="0.3">
      <c r="A347" t="s">
        <v>353</v>
      </c>
      <c r="B347">
        <v>1.3</v>
      </c>
      <c r="C347" t="s">
        <v>480</v>
      </c>
      <c r="D347">
        <v>284.60000000000002</v>
      </c>
      <c r="E347">
        <v>32.4</v>
      </c>
      <c r="F347">
        <v>4.2</v>
      </c>
      <c r="G347">
        <v>51</v>
      </c>
      <c r="H347" t="s">
        <v>483</v>
      </c>
    </row>
    <row r="348" spans="1:8" x14ac:dyDescent="0.3">
      <c r="A348" t="s">
        <v>354</v>
      </c>
      <c r="B348">
        <v>1.24</v>
      </c>
      <c r="C348" t="s">
        <v>480</v>
      </c>
      <c r="D348">
        <v>210.9</v>
      </c>
      <c r="E348">
        <v>48.4</v>
      </c>
      <c r="F348">
        <v>4.2</v>
      </c>
      <c r="G348">
        <v>51</v>
      </c>
      <c r="H348" t="s">
        <v>482</v>
      </c>
    </row>
    <row r="349" spans="1:8" x14ac:dyDescent="0.3">
      <c r="A349" t="s">
        <v>355</v>
      </c>
      <c r="B349">
        <v>1.3</v>
      </c>
      <c r="C349" t="s">
        <v>480</v>
      </c>
      <c r="D349">
        <v>248.6</v>
      </c>
      <c r="E349">
        <v>55.3</v>
      </c>
      <c r="F349">
        <v>4.2</v>
      </c>
      <c r="G349">
        <v>51</v>
      </c>
      <c r="H349" t="s">
        <v>483</v>
      </c>
    </row>
    <row r="350" spans="1:8" x14ac:dyDescent="0.3">
      <c r="A350" t="s">
        <v>356</v>
      </c>
      <c r="B350">
        <v>1.25</v>
      </c>
      <c r="C350" t="s">
        <v>480</v>
      </c>
      <c r="D350">
        <v>279.5</v>
      </c>
      <c r="E350">
        <v>47.3</v>
      </c>
      <c r="F350">
        <v>4.2</v>
      </c>
      <c r="G350">
        <v>51</v>
      </c>
      <c r="H350" t="s">
        <v>483</v>
      </c>
    </row>
    <row r="351" spans="1:8" x14ac:dyDescent="0.3">
      <c r="A351" t="s">
        <v>357</v>
      </c>
      <c r="B351">
        <v>1.24</v>
      </c>
      <c r="C351" t="s">
        <v>480</v>
      </c>
      <c r="D351">
        <v>224</v>
      </c>
      <c r="E351">
        <v>42.1</v>
      </c>
      <c r="F351">
        <v>4.2</v>
      </c>
      <c r="G351">
        <v>51</v>
      </c>
      <c r="H351" t="s">
        <v>482</v>
      </c>
    </row>
    <row r="352" spans="1:8" x14ac:dyDescent="0.3">
      <c r="A352" t="s">
        <v>358</v>
      </c>
      <c r="B352">
        <v>1.2</v>
      </c>
      <c r="C352" t="s">
        <v>480</v>
      </c>
      <c r="D352">
        <v>180</v>
      </c>
      <c r="E352">
        <v>53.8</v>
      </c>
      <c r="F352">
        <v>4.2</v>
      </c>
      <c r="G352">
        <v>51</v>
      </c>
      <c r="H352" t="s">
        <v>482</v>
      </c>
    </row>
    <row r="353" spans="1:8" x14ac:dyDescent="0.3">
      <c r="A353" t="s">
        <v>359</v>
      </c>
      <c r="B353">
        <v>1.25</v>
      </c>
      <c r="C353" t="s">
        <v>480</v>
      </c>
      <c r="D353">
        <v>242.9</v>
      </c>
      <c r="E353">
        <v>31.1</v>
      </c>
      <c r="F353">
        <v>4.2</v>
      </c>
      <c r="G353">
        <v>51</v>
      </c>
      <c r="H353" t="s">
        <v>483</v>
      </c>
    </row>
    <row r="354" spans="1:8" x14ac:dyDescent="0.3">
      <c r="A354" t="s">
        <v>360</v>
      </c>
      <c r="B354">
        <v>1.3</v>
      </c>
      <c r="C354" t="s">
        <v>480</v>
      </c>
      <c r="D354">
        <v>197.2</v>
      </c>
      <c r="E354">
        <v>57.4</v>
      </c>
      <c r="F354">
        <v>4.2</v>
      </c>
      <c r="G354">
        <v>51</v>
      </c>
      <c r="H354" t="s">
        <v>482</v>
      </c>
    </row>
    <row r="355" spans="1:8" x14ac:dyDescent="0.3">
      <c r="A355" t="s">
        <v>361</v>
      </c>
      <c r="B355">
        <v>1.2</v>
      </c>
      <c r="C355" t="s">
        <v>480</v>
      </c>
      <c r="D355">
        <v>158.9</v>
      </c>
      <c r="E355">
        <v>63.4</v>
      </c>
      <c r="F355">
        <v>4.2</v>
      </c>
      <c r="G355">
        <v>51</v>
      </c>
      <c r="H355" t="s">
        <v>481</v>
      </c>
    </row>
    <row r="356" spans="1:8" x14ac:dyDescent="0.3">
      <c r="A356" t="s">
        <v>362</v>
      </c>
      <c r="B356">
        <v>1.24</v>
      </c>
      <c r="C356" t="s">
        <v>480</v>
      </c>
      <c r="D356">
        <v>270.3</v>
      </c>
      <c r="E356">
        <v>48.8</v>
      </c>
      <c r="F356">
        <v>4.2</v>
      </c>
      <c r="G356">
        <v>51</v>
      </c>
      <c r="H356" t="s">
        <v>483</v>
      </c>
    </row>
    <row r="357" spans="1:8" x14ac:dyDescent="0.3">
      <c r="A357" t="s">
        <v>363</v>
      </c>
      <c r="B357">
        <v>1.25</v>
      </c>
      <c r="C357" t="s">
        <v>480</v>
      </c>
      <c r="D357">
        <v>205.7</v>
      </c>
      <c r="E357">
        <v>38.700000000000003</v>
      </c>
      <c r="F357">
        <v>4.2</v>
      </c>
      <c r="G357">
        <v>51</v>
      </c>
      <c r="H357" t="s">
        <v>481</v>
      </c>
    </row>
    <row r="358" spans="1:8" x14ac:dyDescent="0.3">
      <c r="A358" t="s">
        <v>364</v>
      </c>
      <c r="B358">
        <v>1.3</v>
      </c>
      <c r="C358" t="s">
        <v>480</v>
      </c>
      <c r="D358">
        <v>281.2</v>
      </c>
      <c r="E358">
        <v>37.4</v>
      </c>
      <c r="F358">
        <v>4.2</v>
      </c>
      <c r="G358">
        <v>51</v>
      </c>
      <c r="H358" t="s">
        <v>483</v>
      </c>
    </row>
    <row r="359" spans="1:8" x14ac:dyDescent="0.3">
      <c r="A359" t="s">
        <v>365</v>
      </c>
      <c r="B359">
        <v>1.2</v>
      </c>
      <c r="C359" t="s">
        <v>480</v>
      </c>
      <c r="D359">
        <v>236</v>
      </c>
      <c r="E359">
        <v>40.200000000000003</v>
      </c>
      <c r="F359">
        <v>4.2</v>
      </c>
      <c r="G359">
        <v>51</v>
      </c>
      <c r="H359" t="s">
        <v>481</v>
      </c>
    </row>
    <row r="360" spans="1:8" x14ac:dyDescent="0.3">
      <c r="A360" t="s">
        <v>366</v>
      </c>
      <c r="B360">
        <v>1.25</v>
      </c>
      <c r="C360" t="s">
        <v>480</v>
      </c>
      <c r="D360">
        <v>244.6</v>
      </c>
      <c r="E360">
        <v>48.8</v>
      </c>
      <c r="F360">
        <v>4.2</v>
      </c>
      <c r="G360">
        <v>51</v>
      </c>
      <c r="H360" t="s">
        <v>483</v>
      </c>
    </row>
    <row r="361" spans="1:8" x14ac:dyDescent="0.3">
      <c r="A361" t="s">
        <v>367</v>
      </c>
      <c r="B361">
        <v>1.25</v>
      </c>
      <c r="C361" t="s">
        <v>480</v>
      </c>
      <c r="D361">
        <v>154.9</v>
      </c>
      <c r="E361">
        <v>41</v>
      </c>
      <c r="F361">
        <v>4.2</v>
      </c>
      <c r="G361">
        <v>51</v>
      </c>
      <c r="H361" t="s">
        <v>481</v>
      </c>
    </row>
    <row r="362" spans="1:8" x14ac:dyDescent="0.3">
      <c r="A362" t="s">
        <v>368</v>
      </c>
      <c r="B362">
        <v>1.2</v>
      </c>
      <c r="C362" t="s">
        <v>480</v>
      </c>
      <c r="D362">
        <v>197.2</v>
      </c>
      <c r="E362">
        <v>42.1</v>
      </c>
      <c r="F362">
        <v>4.0999999999999996</v>
      </c>
      <c r="G362">
        <v>51</v>
      </c>
      <c r="H362" t="s">
        <v>481</v>
      </c>
    </row>
    <row r="363" spans="1:8" x14ac:dyDescent="0.3">
      <c r="A363" t="s">
        <v>369</v>
      </c>
      <c r="B363">
        <v>1.2</v>
      </c>
      <c r="C363" t="s">
        <v>480</v>
      </c>
      <c r="D363">
        <v>238.9</v>
      </c>
      <c r="E363">
        <v>44.5</v>
      </c>
      <c r="F363">
        <v>4.0999999999999996</v>
      </c>
      <c r="G363">
        <v>51</v>
      </c>
      <c r="H363" t="s">
        <v>483</v>
      </c>
    </row>
    <row r="364" spans="1:8" x14ac:dyDescent="0.3">
      <c r="A364" t="s">
        <v>370</v>
      </c>
      <c r="B364">
        <v>1.3</v>
      </c>
      <c r="C364" t="s">
        <v>480</v>
      </c>
      <c r="D364">
        <v>237.2</v>
      </c>
      <c r="E364">
        <v>34</v>
      </c>
      <c r="F364">
        <v>4.0999999999999996</v>
      </c>
      <c r="G364">
        <v>51</v>
      </c>
      <c r="H364" t="s">
        <v>481</v>
      </c>
    </row>
    <row r="365" spans="1:8" x14ac:dyDescent="0.3">
      <c r="A365" t="s">
        <v>371</v>
      </c>
      <c r="B365">
        <v>1.25</v>
      </c>
      <c r="C365" t="s">
        <v>480</v>
      </c>
      <c r="D365">
        <v>204.6</v>
      </c>
      <c r="E365">
        <v>50.8</v>
      </c>
      <c r="F365">
        <v>4.0999999999999996</v>
      </c>
      <c r="G365">
        <v>51</v>
      </c>
      <c r="H365" t="s">
        <v>481</v>
      </c>
    </row>
    <row r="366" spans="1:8" x14ac:dyDescent="0.3">
      <c r="A366" t="s">
        <v>372</v>
      </c>
      <c r="B366">
        <v>1.3</v>
      </c>
      <c r="C366" t="s">
        <v>480</v>
      </c>
      <c r="D366">
        <v>206.9</v>
      </c>
      <c r="E366">
        <v>50.9</v>
      </c>
      <c r="F366">
        <v>4.0999999999999996</v>
      </c>
      <c r="G366">
        <v>51</v>
      </c>
      <c r="H366" t="s">
        <v>481</v>
      </c>
    </row>
    <row r="367" spans="1:8" x14ac:dyDescent="0.3">
      <c r="A367" t="s">
        <v>373</v>
      </c>
      <c r="B367">
        <v>1.25</v>
      </c>
      <c r="C367" t="s">
        <v>480</v>
      </c>
      <c r="D367">
        <v>209.2</v>
      </c>
      <c r="E367">
        <v>49</v>
      </c>
      <c r="F367">
        <v>4.0999999999999996</v>
      </c>
      <c r="G367">
        <v>51</v>
      </c>
      <c r="H367" t="s">
        <v>481</v>
      </c>
    </row>
    <row r="368" spans="1:8" x14ac:dyDescent="0.3">
      <c r="A368" t="s">
        <v>374</v>
      </c>
      <c r="B368">
        <v>1.3</v>
      </c>
      <c r="C368" t="s">
        <v>480</v>
      </c>
      <c r="D368">
        <v>196.6</v>
      </c>
      <c r="E368">
        <v>57.7</v>
      </c>
      <c r="F368">
        <v>4.0999999999999996</v>
      </c>
      <c r="G368">
        <v>51</v>
      </c>
      <c r="H368" t="s">
        <v>482</v>
      </c>
    </row>
    <row r="369" spans="1:8" x14ac:dyDescent="0.3">
      <c r="A369" t="s">
        <v>375</v>
      </c>
      <c r="B369">
        <v>1.2</v>
      </c>
      <c r="C369" t="s">
        <v>480</v>
      </c>
      <c r="D369">
        <v>257.7</v>
      </c>
      <c r="E369">
        <v>43.8</v>
      </c>
      <c r="F369">
        <v>4.0999999999999996</v>
      </c>
      <c r="G369">
        <v>51</v>
      </c>
      <c r="H369" t="s">
        <v>483</v>
      </c>
    </row>
    <row r="370" spans="1:8" x14ac:dyDescent="0.3">
      <c r="A370" t="s">
        <v>376</v>
      </c>
      <c r="B370">
        <v>1.23</v>
      </c>
      <c r="C370" t="s">
        <v>480</v>
      </c>
      <c r="D370">
        <v>224</v>
      </c>
      <c r="E370">
        <v>28.8</v>
      </c>
      <c r="F370">
        <v>4.0999999999999996</v>
      </c>
      <c r="G370">
        <v>51</v>
      </c>
      <c r="H370" t="s">
        <v>481</v>
      </c>
    </row>
    <row r="371" spans="1:8" x14ac:dyDescent="0.3">
      <c r="A371" t="s">
        <v>377</v>
      </c>
      <c r="B371">
        <v>1.3</v>
      </c>
      <c r="C371" t="s">
        <v>480</v>
      </c>
      <c r="D371">
        <v>321.2</v>
      </c>
      <c r="E371">
        <v>32.9</v>
      </c>
      <c r="F371">
        <v>4.0999999999999996</v>
      </c>
      <c r="G371">
        <v>51</v>
      </c>
      <c r="H371" t="s">
        <v>483</v>
      </c>
    </row>
    <row r="372" spans="1:8" x14ac:dyDescent="0.3">
      <c r="A372" t="s">
        <v>378</v>
      </c>
      <c r="B372">
        <v>1.1200000000000001</v>
      </c>
      <c r="C372" t="s">
        <v>480</v>
      </c>
      <c r="D372">
        <v>203.5</v>
      </c>
      <c r="E372">
        <v>46.1</v>
      </c>
      <c r="F372">
        <v>4</v>
      </c>
      <c r="G372">
        <v>51</v>
      </c>
      <c r="H372" t="s">
        <v>481</v>
      </c>
    </row>
    <row r="373" spans="1:8" x14ac:dyDescent="0.3">
      <c r="A373" t="s">
        <v>379</v>
      </c>
      <c r="B373">
        <v>1.25</v>
      </c>
      <c r="C373" t="s">
        <v>480</v>
      </c>
      <c r="D373">
        <v>241.2</v>
      </c>
      <c r="E373">
        <v>36.299999999999997</v>
      </c>
      <c r="F373">
        <v>4</v>
      </c>
      <c r="G373">
        <v>51</v>
      </c>
      <c r="H373" t="s">
        <v>482</v>
      </c>
    </row>
    <row r="374" spans="1:8" x14ac:dyDescent="0.3">
      <c r="A374" t="s">
        <v>380</v>
      </c>
      <c r="B374">
        <v>1.2</v>
      </c>
      <c r="C374" t="s">
        <v>480</v>
      </c>
      <c r="D374">
        <v>187.5</v>
      </c>
      <c r="E374">
        <v>63.3</v>
      </c>
      <c r="F374">
        <v>4</v>
      </c>
      <c r="G374">
        <v>51</v>
      </c>
      <c r="H374" t="s">
        <v>482</v>
      </c>
    </row>
    <row r="375" spans="1:8" x14ac:dyDescent="0.3">
      <c r="A375" t="s">
        <v>381</v>
      </c>
      <c r="B375">
        <v>1.2</v>
      </c>
      <c r="C375" t="s">
        <v>480</v>
      </c>
      <c r="D375">
        <v>174.3</v>
      </c>
      <c r="E375">
        <v>62.4</v>
      </c>
      <c r="F375">
        <v>4</v>
      </c>
      <c r="G375">
        <v>51</v>
      </c>
      <c r="H375" t="s">
        <v>482</v>
      </c>
    </row>
    <row r="376" spans="1:8" x14ac:dyDescent="0.3">
      <c r="A376" t="s">
        <v>382</v>
      </c>
      <c r="B376">
        <v>1.25</v>
      </c>
      <c r="C376" t="s">
        <v>480</v>
      </c>
      <c r="D376">
        <v>245.7</v>
      </c>
      <c r="E376">
        <v>43.7</v>
      </c>
      <c r="F376">
        <v>4</v>
      </c>
      <c r="G376">
        <v>51</v>
      </c>
      <c r="H376" t="s">
        <v>483</v>
      </c>
    </row>
    <row r="377" spans="1:8" x14ac:dyDescent="0.3">
      <c r="A377" t="s">
        <v>383</v>
      </c>
      <c r="B377">
        <v>1.3</v>
      </c>
      <c r="C377" t="s">
        <v>480</v>
      </c>
      <c r="D377">
        <v>209.2</v>
      </c>
      <c r="E377">
        <v>52</v>
      </c>
      <c r="F377">
        <v>4</v>
      </c>
      <c r="G377">
        <v>51</v>
      </c>
      <c r="H377" t="s">
        <v>482</v>
      </c>
    </row>
    <row r="378" spans="1:8" x14ac:dyDescent="0.3">
      <c r="A378" t="s">
        <v>384</v>
      </c>
      <c r="B378">
        <v>1.3</v>
      </c>
      <c r="C378" t="s">
        <v>480</v>
      </c>
      <c r="D378">
        <v>192.6</v>
      </c>
      <c r="E378">
        <v>66.099999999999994</v>
      </c>
      <c r="F378">
        <v>4</v>
      </c>
      <c r="G378">
        <v>51</v>
      </c>
      <c r="H378" t="s">
        <v>482</v>
      </c>
    </row>
    <row r="379" spans="1:8" x14ac:dyDescent="0.3">
      <c r="A379" t="s">
        <v>385</v>
      </c>
      <c r="B379">
        <v>1.25</v>
      </c>
      <c r="C379" t="s">
        <v>480</v>
      </c>
      <c r="D379">
        <v>244</v>
      </c>
      <c r="E379">
        <v>35</v>
      </c>
      <c r="F379">
        <v>4</v>
      </c>
      <c r="G379">
        <v>51</v>
      </c>
      <c r="H379" t="s">
        <v>482</v>
      </c>
    </row>
    <row r="380" spans="1:8" x14ac:dyDescent="0.3">
      <c r="A380" t="s">
        <v>386</v>
      </c>
      <c r="B380">
        <v>1.2</v>
      </c>
      <c r="C380" t="s">
        <v>480</v>
      </c>
      <c r="D380">
        <v>189.2</v>
      </c>
      <c r="E380">
        <v>61.6</v>
      </c>
      <c r="F380">
        <v>4</v>
      </c>
      <c r="G380">
        <v>51</v>
      </c>
      <c r="H380" t="s">
        <v>482</v>
      </c>
    </row>
    <row r="381" spans="1:8" x14ac:dyDescent="0.3">
      <c r="A381" t="s">
        <v>387</v>
      </c>
      <c r="B381">
        <v>1.18</v>
      </c>
      <c r="C381" t="s">
        <v>480</v>
      </c>
      <c r="D381">
        <v>245.2</v>
      </c>
      <c r="E381">
        <v>39</v>
      </c>
      <c r="F381">
        <v>4</v>
      </c>
      <c r="G381">
        <v>51</v>
      </c>
      <c r="H381" t="s">
        <v>483</v>
      </c>
    </row>
    <row r="382" spans="1:8" x14ac:dyDescent="0.3">
      <c r="A382" t="s">
        <v>388</v>
      </c>
      <c r="B382">
        <v>1.3</v>
      </c>
      <c r="C382" t="s">
        <v>480</v>
      </c>
      <c r="D382">
        <v>285.8</v>
      </c>
      <c r="E382">
        <v>39.6</v>
      </c>
      <c r="F382">
        <v>3.9</v>
      </c>
      <c r="G382">
        <v>51</v>
      </c>
      <c r="H382" t="s">
        <v>483</v>
      </c>
    </row>
    <row r="383" spans="1:8" x14ac:dyDescent="0.3">
      <c r="A383" t="s">
        <v>389</v>
      </c>
      <c r="B383">
        <v>1.25</v>
      </c>
      <c r="C383" t="s">
        <v>480</v>
      </c>
      <c r="D383">
        <v>258.89999999999998</v>
      </c>
      <c r="E383">
        <v>21.3</v>
      </c>
      <c r="F383">
        <v>3.9</v>
      </c>
      <c r="G383">
        <v>51</v>
      </c>
      <c r="H383" t="s">
        <v>481</v>
      </c>
    </row>
    <row r="384" spans="1:8" x14ac:dyDescent="0.3">
      <c r="A384" t="s">
        <v>390</v>
      </c>
      <c r="B384">
        <v>1.22</v>
      </c>
      <c r="C384" t="s">
        <v>480</v>
      </c>
      <c r="D384">
        <v>228</v>
      </c>
      <c r="E384">
        <v>43.9</v>
      </c>
      <c r="F384">
        <v>3.9</v>
      </c>
      <c r="G384">
        <v>51</v>
      </c>
      <c r="H384" t="s">
        <v>482</v>
      </c>
    </row>
    <row r="385" spans="1:8" x14ac:dyDescent="0.3">
      <c r="A385" t="s">
        <v>391</v>
      </c>
      <c r="B385">
        <v>1.2</v>
      </c>
      <c r="C385" t="s">
        <v>480</v>
      </c>
      <c r="D385">
        <v>194.9</v>
      </c>
      <c r="E385">
        <v>52.2</v>
      </c>
      <c r="F385">
        <v>3.9</v>
      </c>
      <c r="G385">
        <v>51</v>
      </c>
      <c r="H385" t="s">
        <v>481</v>
      </c>
    </row>
    <row r="386" spans="1:8" x14ac:dyDescent="0.3">
      <c r="A386" t="s">
        <v>392</v>
      </c>
      <c r="B386">
        <v>1.1499999999999999</v>
      </c>
      <c r="C386" t="s">
        <v>480</v>
      </c>
      <c r="D386">
        <v>166.3</v>
      </c>
      <c r="E386">
        <v>60.6</v>
      </c>
      <c r="F386">
        <v>3.9</v>
      </c>
      <c r="G386">
        <v>51</v>
      </c>
      <c r="H386" t="s">
        <v>482</v>
      </c>
    </row>
    <row r="387" spans="1:8" x14ac:dyDescent="0.3">
      <c r="A387" t="s">
        <v>393</v>
      </c>
      <c r="B387">
        <v>1.2</v>
      </c>
      <c r="C387" t="s">
        <v>480</v>
      </c>
      <c r="D387">
        <v>157.69999999999999</v>
      </c>
      <c r="E387">
        <v>61.9</v>
      </c>
      <c r="F387">
        <v>3.9</v>
      </c>
      <c r="G387">
        <v>51</v>
      </c>
      <c r="H387" t="s">
        <v>481</v>
      </c>
    </row>
    <row r="388" spans="1:8" x14ac:dyDescent="0.3">
      <c r="A388" t="s">
        <v>394</v>
      </c>
      <c r="B388">
        <v>1.26</v>
      </c>
      <c r="C388" t="s">
        <v>480</v>
      </c>
      <c r="D388">
        <v>249.7</v>
      </c>
      <c r="E388">
        <v>46.3</v>
      </c>
      <c r="F388">
        <v>3.9</v>
      </c>
      <c r="G388">
        <v>51</v>
      </c>
      <c r="H388" t="s">
        <v>483</v>
      </c>
    </row>
    <row r="389" spans="1:8" x14ac:dyDescent="0.3">
      <c r="A389" t="s">
        <v>395</v>
      </c>
      <c r="B389">
        <v>1.2</v>
      </c>
      <c r="C389" t="s">
        <v>480</v>
      </c>
      <c r="D389">
        <v>209.7</v>
      </c>
      <c r="E389">
        <v>54.3</v>
      </c>
      <c r="F389">
        <v>3.9</v>
      </c>
      <c r="G389">
        <v>51</v>
      </c>
      <c r="H389" t="s">
        <v>483</v>
      </c>
    </row>
    <row r="390" spans="1:8" x14ac:dyDescent="0.3">
      <c r="A390" t="s">
        <v>396</v>
      </c>
      <c r="B390">
        <v>1.2</v>
      </c>
      <c r="C390" t="s">
        <v>480</v>
      </c>
      <c r="D390">
        <v>212</v>
      </c>
      <c r="E390">
        <v>49.7</v>
      </c>
      <c r="F390">
        <v>3.9</v>
      </c>
      <c r="G390">
        <v>51</v>
      </c>
      <c r="H390" t="s">
        <v>482</v>
      </c>
    </row>
    <row r="391" spans="1:8" x14ac:dyDescent="0.3">
      <c r="A391" t="s">
        <v>397</v>
      </c>
      <c r="B391">
        <v>1.3</v>
      </c>
      <c r="C391" t="s">
        <v>480</v>
      </c>
      <c r="D391">
        <v>306.3</v>
      </c>
      <c r="E391">
        <v>21.6</v>
      </c>
      <c r="F391">
        <v>3.9</v>
      </c>
      <c r="G391">
        <v>51</v>
      </c>
      <c r="H391" t="s">
        <v>482</v>
      </c>
    </row>
    <row r="392" spans="1:8" x14ac:dyDescent="0.3">
      <c r="A392" t="s">
        <v>398</v>
      </c>
      <c r="B392">
        <v>1.3</v>
      </c>
      <c r="C392" t="s">
        <v>480</v>
      </c>
      <c r="D392">
        <v>227.5</v>
      </c>
      <c r="E392">
        <v>26.7</v>
      </c>
      <c r="F392">
        <v>3.9</v>
      </c>
      <c r="G392">
        <v>51</v>
      </c>
      <c r="H392" t="s">
        <v>482</v>
      </c>
    </row>
    <row r="393" spans="1:8" x14ac:dyDescent="0.3">
      <c r="A393" t="s">
        <v>399</v>
      </c>
      <c r="B393">
        <v>1.2</v>
      </c>
      <c r="C393" t="s">
        <v>480</v>
      </c>
      <c r="D393">
        <v>176.6</v>
      </c>
      <c r="E393">
        <v>63.8</v>
      </c>
      <c r="F393">
        <v>3.9</v>
      </c>
      <c r="G393">
        <v>51</v>
      </c>
      <c r="H393" t="s">
        <v>482</v>
      </c>
    </row>
    <row r="394" spans="1:8" x14ac:dyDescent="0.3">
      <c r="A394" t="s">
        <v>400</v>
      </c>
      <c r="B394">
        <v>1.3</v>
      </c>
      <c r="C394" t="s">
        <v>480</v>
      </c>
      <c r="D394">
        <v>250.9</v>
      </c>
      <c r="E394">
        <v>41.3</v>
      </c>
      <c r="F394">
        <v>3.9</v>
      </c>
      <c r="G394">
        <v>51</v>
      </c>
      <c r="H394" t="s">
        <v>483</v>
      </c>
    </row>
    <row r="395" spans="1:8" x14ac:dyDescent="0.3">
      <c r="A395" t="s">
        <v>401</v>
      </c>
      <c r="B395">
        <v>1.25</v>
      </c>
      <c r="C395" t="s">
        <v>480</v>
      </c>
      <c r="D395">
        <v>181.7</v>
      </c>
      <c r="E395">
        <v>61.7</v>
      </c>
      <c r="F395">
        <v>3.8</v>
      </c>
      <c r="G395">
        <v>51</v>
      </c>
      <c r="H395" t="s">
        <v>482</v>
      </c>
    </row>
    <row r="396" spans="1:8" x14ac:dyDescent="0.3">
      <c r="A396" t="s">
        <v>402</v>
      </c>
      <c r="B396">
        <v>1.25</v>
      </c>
      <c r="C396" t="s">
        <v>480</v>
      </c>
      <c r="D396">
        <v>241.2</v>
      </c>
      <c r="E396">
        <v>43</v>
      </c>
      <c r="F396">
        <v>3.8</v>
      </c>
      <c r="G396">
        <v>51</v>
      </c>
      <c r="H396" t="s">
        <v>483</v>
      </c>
    </row>
    <row r="397" spans="1:8" x14ac:dyDescent="0.3">
      <c r="A397" t="s">
        <v>403</v>
      </c>
      <c r="B397">
        <v>1.25</v>
      </c>
      <c r="C397" t="s">
        <v>480</v>
      </c>
      <c r="D397">
        <v>226.9</v>
      </c>
      <c r="E397">
        <v>36.299999999999997</v>
      </c>
      <c r="F397">
        <v>3.8</v>
      </c>
      <c r="G397">
        <v>51</v>
      </c>
      <c r="H397" t="s">
        <v>481</v>
      </c>
    </row>
    <row r="398" spans="1:8" x14ac:dyDescent="0.3">
      <c r="A398" t="s">
        <v>404</v>
      </c>
      <c r="B398">
        <v>1.3</v>
      </c>
      <c r="C398" t="s">
        <v>480</v>
      </c>
      <c r="D398">
        <v>256</v>
      </c>
      <c r="E398">
        <v>41.7</v>
      </c>
      <c r="F398">
        <v>3.8</v>
      </c>
      <c r="G398">
        <v>51</v>
      </c>
      <c r="H398" t="s">
        <v>482</v>
      </c>
    </row>
    <row r="399" spans="1:8" x14ac:dyDescent="0.3">
      <c r="A399" t="s">
        <v>405</v>
      </c>
      <c r="B399">
        <v>1.31</v>
      </c>
      <c r="C399" t="s">
        <v>480</v>
      </c>
      <c r="D399">
        <v>163.4</v>
      </c>
      <c r="E399">
        <v>46.7</v>
      </c>
      <c r="F399">
        <v>3.8</v>
      </c>
      <c r="G399">
        <v>51</v>
      </c>
      <c r="H399" t="s">
        <v>481</v>
      </c>
    </row>
    <row r="400" spans="1:8" x14ac:dyDescent="0.3">
      <c r="A400" t="s">
        <v>406</v>
      </c>
      <c r="B400">
        <v>1.25</v>
      </c>
      <c r="C400" t="s">
        <v>480</v>
      </c>
      <c r="D400">
        <v>261.7</v>
      </c>
      <c r="E400">
        <v>43</v>
      </c>
      <c r="F400">
        <v>3.7</v>
      </c>
      <c r="G400">
        <v>51</v>
      </c>
      <c r="H400" t="s">
        <v>482</v>
      </c>
    </row>
    <row r="401" spans="1:8" x14ac:dyDescent="0.3">
      <c r="A401" t="s">
        <v>407</v>
      </c>
      <c r="B401">
        <v>1.25</v>
      </c>
      <c r="C401" t="s">
        <v>480</v>
      </c>
      <c r="D401">
        <v>188</v>
      </c>
      <c r="E401">
        <v>67.599999999999994</v>
      </c>
      <c r="F401">
        <v>3.7</v>
      </c>
      <c r="G401">
        <v>51</v>
      </c>
      <c r="H401" t="s">
        <v>482</v>
      </c>
    </row>
    <row r="402" spans="1:8" x14ac:dyDescent="0.3">
      <c r="A402" t="s">
        <v>408</v>
      </c>
      <c r="B402">
        <v>1.25</v>
      </c>
      <c r="C402" t="s">
        <v>480</v>
      </c>
      <c r="D402">
        <v>265.7</v>
      </c>
      <c r="E402">
        <v>50</v>
      </c>
      <c r="F402">
        <v>3.7</v>
      </c>
      <c r="G402">
        <v>51</v>
      </c>
      <c r="H402" t="s">
        <v>483</v>
      </c>
    </row>
    <row r="403" spans="1:8" x14ac:dyDescent="0.3">
      <c r="A403" t="s">
        <v>409</v>
      </c>
      <c r="B403">
        <v>1.25</v>
      </c>
      <c r="C403" t="s">
        <v>480</v>
      </c>
      <c r="D403">
        <v>209.7</v>
      </c>
      <c r="E403">
        <v>49.7</v>
      </c>
      <c r="F403">
        <v>3.7</v>
      </c>
      <c r="G403">
        <v>51</v>
      </c>
      <c r="H403" t="s">
        <v>483</v>
      </c>
    </row>
    <row r="404" spans="1:8" x14ac:dyDescent="0.3">
      <c r="A404" t="s">
        <v>410</v>
      </c>
      <c r="B404">
        <v>1.23</v>
      </c>
      <c r="C404" t="s">
        <v>480</v>
      </c>
      <c r="D404">
        <v>253.7</v>
      </c>
      <c r="E404">
        <v>40.9</v>
      </c>
      <c r="F404">
        <v>3.7</v>
      </c>
      <c r="G404">
        <v>51</v>
      </c>
      <c r="H404" t="s">
        <v>483</v>
      </c>
    </row>
    <row r="405" spans="1:8" x14ac:dyDescent="0.3">
      <c r="A405" t="s">
        <v>411</v>
      </c>
      <c r="B405">
        <v>1.3</v>
      </c>
      <c r="C405" t="s">
        <v>480</v>
      </c>
      <c r="D405">
        <v>236</v>
      </c>
      <c r="E405">
        <v>45</v>
      </c>
      <c r="F405">
        <v>3.6</v>
      </c>
      <c r="G405">
        <v>51</v>
      </c>
      <c r="H405" t="s">
        <v>482</v>
      </c>
    </row>
    <row r="406" spans="1:8" x14ac:dyDescent="0.3">
      <c r="A406" t="s">
        <v>412</v>
      </c>
      <c r="B406">
        <v>1.25</v>
      </c>
      <c r="C406" t="s">
        <v>480</v>
      </c>
      <c r="D406">
        <v>278.3</v>
      </c>
      <c r="E406">
        <v>37.799999999999997</v>
      </c>
      <c r="F406">
        <v>3.6</v>
      </c>
      <c r="G406">
        <v>51</v>
      </c>
      <c r="H406" t="s">
        <v>483</v>
      </c>
    </row>
    <row r="407" spans="1:8" x14ac:dyDescent="0.3">
      <c r="A407" t="s">
        <v>413</v>
      </c>
      <c r="B407">
        <v>1.1000000000000001</v>
      </c>
      <c r="C407" t="s">
        <v>480</v>
      </c>
      <c r="D407">
        <v>189.2</v>
      </c>
      <c r="E407">
        <v>45.4</v>
      </c>
      <c r="F407">
        <v>3.6</v>
      </c>
      <c r="G407">
        <v>51</v>
      </c>
      <c r="H407" t="s">
        <v>481</v>
      </c>
    </row>
    <row r="408" spans="1:8" x14ac:dyDescent="0.3">
      <c r="A408" t="s">
        <v>414</v>
      </c>
      <c r="B408">
        <v>1.31</v>
      </c>
      <c r="C408" t="s">
        <v>480</v>
      </c>
      <c r="D408">
        <v>271.5</v>
      </c>
      <c r="E408">
        <v>48.2</v>
      </c>
      <c r="F408">
        <v>3.6</v>
      </c>
      <c r="G408">
        <v>51</v>
      </c>
      <c r="H408" t="s">
        <v>483</v>
      </c>
    </row>
    <row r="409" spans="1:8" x14ac:dyDescent="0.3">
      <c r="A409" t="s">
        <v>415</v>
      </c>
      <c r="B409">
        <v>1.2</v>
      </c>
      <c r="C409" t="s">
        <v>480</v>
      </c>
      <c r="D409">
        <v>192</v>
      </c>
      <c r="E409">
        <v>63.1</v>
      </c>
      <c r="F409">
        <v>3.6</v>
      </c>
      <c r="G409">
        <v>51</v>
      </c>
      <c r="H409" t="s">
        <v>483</v>
      </c>
    </row>
    <row r="410" spans="1:8" x14ac:dyDescent="0.3">
      <c r="A410" t="s">
        <v>416</v>
      </c>
      <c r="B410">
        <v>1.38</v>
      </c>
      <c r="C410" t="s">
        <v>480</v>
      </c>
      <c r="D410">
        <v>266.89999999999998</v>
      </c>
      <c r="E410">
        <v>47.6</v>
      </c>
      <c r="F410">
        <v>3.6</v>
      </c>
      <c r="G410">
        <v>51</v>
      </c>
      <c r="H410" t="s">
        <v>482</v>
      </c>
    </row>
    <row r="411" spans="1:8" x14ac:dyDescent="0.3">
      <c r="A411" t="s">
        <v>417</v>
      </c>
      <c r="B411">
        <v>1.25</v>
      </c>
      <c r="C411" t="s">
        <v>480</v>
      </c>
      <c r="D411">
        <v>210.3</v>
      </c>
      <c r="E411">
        <v>52.6</v>
      </c>
      <c r="F411">
        <v>3.6</v>
      </c>
      <c r="G411">
        <v>51</v>
      </c>
      <c r="H411" t="s">
        <v>482</v>
      </c>
    </row>
    <row r="412" spans="1:8" x14ac:dyDescent="0.3">
      <c r="A412" t="s">
        <v>418</v>
      </c>
      <c r="B412">
        <v>1.25</v>
      </c>
      <c r="C412" t="s">
        <v>480</v>
      </c>
      <c r="D412">
        <v>228</v>
      </c>
      <c r="E412">
        <v>46.4</v>
      </c>
      <c r="F412">
        <v>3.5</v>
      </c>
      <c r="G412">
        <v>51</v>
      </c>
      <c r="H412" t="s">
        <v>482</v>
      </c>
    </row>
    <row r="413" spans="1:8" x14ac:dyDescent="0.3">
      <c r="A413" t="s">
        <v>419</v>
      </c>
      <c r="B413">
        <v>1.25</v>
      </c>
      <c r="C413" t="s">
        <v>480</v>
      </c>
      <c r="D413">
        <v>226.9</v>
      </c>
      <c r="E413">
        <v>44</v>
      </c>
      <c r="F413">
        <v>3.5</v>
      </c>
      <c r="G413">
        <v>51</v>
      </c>
      <c r="H413" t="s">
        <v>482</v>
      </c>
    </row>
    <row r="414" spans="1:8" x14ac:dyDescent="0.3">
      <c r="A414" t="s">
        <v>420</v>
      </c>
      <c r="B414">
        <v>1.3</v>
      </c>
      <c r="C414" t="s">
        <v>480</v>
      </c>
      <c r="D414">
        <v>191.5</v>
      </c>
      <c r="E414">
        <v>44.5</v>
      </c>
      <c r="F414">
        <v>3.4</v>
      </c>
      <c r="G414">
        <v>51</v>
      </c>
      <c r="H414" t="s">
        <v>481</v>
      </c>
    </row>
    <row r="415" spans="1:8" x14ac:dyDescent="0.3">
      <c r="A415" t="s">
        <v>421</v>
      </c>
      <c r="B415">
        <v>1.27</v>
      </c>
      <c r="C415" t="s">
        <v>480</v>
      </c>
      <c r="D415">
        <v>234.3</v>
      </c>
      <c r="E415">
        <v>46.2</v>
      </c>
      <c r="F415">
        <v>3.4</v>
      </c>
      <c r="G415">
        <v>51</v>
      </c>
      <c r="H415" t="s">
        <v>481</v>
      </c>
    </row>
    <row r="416" spans="1:8" x14ac:dyDescent="0.3">
      <c r="A416" t="s">
        <v>422</v>
      </c>
      <c r="B416">
        <v>1.25</v>
      </c>
      <c r="C416" t="s">
        <v>480</v>
      </c>
      <c r="D416">
        <v>243.5</v>
      </c>
      <c r="E416">
        <v>42.5</v>
      </c>
      <c r="F416">
        <v>3.4</v>
      </c>
      <c r="G416">
        <v>51</v>
      </c>
      <c r="H416" t="s">
        <v>483</v>
      </c>
    </row>
    <row r="417" spans="1:8" x14ac:dyDescent="0.3">
      <c r="A417" t="s">
        <v>423</v>
      </c>
      <c r="B417">
        <v>1.3</v>
      </c>
      <c r="C417" t="s">
        <v>480</v>
      </c>
      <c r="D417">
        <v>222.3</v>
      </c>
      <c r="E417">
        <v>40.5</v>
      </c>
      <c r="F417">
        <v>3.4</v>
      </c>
      <c r="G417">
        <v>51</v>
      </c>
      <c r="H417" t="s">
        <v>481</v>
      </c>
    </row>
    <row r="418" spans="1:8" x14ac:dyDescent="0.3">
      <c r="A418" t="s">
        <v>424</v>
      </c>
      <c r="B418">
        <v>1.2</v>
      </c>
      <c r="C418" t="s">
        <v>480</v>
      </c>
      <c r="D418">
        <v>198.9</v>
      </c>
      <c r="E418">
        <v>55.6</v>
      </c>
      <c r="F418">
        <v>3.4</v>
      </c>
      <c r="G418">
        <v>51</v>
      </c>
      <c r="H418" t="s">
        <v>481</v>
      </c>
    </row>
    <row r="419" spans="1:8" x14ac:dyDescent="0.3">
      <c r="A419" t="s">
        <v>425</v>
      </c>
      <c r="B419">
        <v>1.25</v>
      </c>
      <c r="C419" t="s">
        <v>480</v>
      </c>
      <c r="D419">
        <v>199.5</v>
      </c>
      <c r="E419">
        <v>59.9</v>
      </c>
      <c r="F419">
        <v>3.3</v>
      </c>
      <c r="G419">
        <v>51</v>
      </c>
      <c r="H419" t="s">
        <v>482</v>
      </c>
    </row>
    <row r="420" spans="1:8" x14ac:dyDescent="0.3">
      <c r="A420" t="s">
        <v>426</v>
      </c>
      <c r="B420">
        <v>1.25</v>
      </c>
      <c r="C420" t="s">
        <v>480</v>
      </c>
      <c r="D420">
        <v>202.9</v>
      </c>
      <c r="E420">
        <v>44.8</v>
      </c>
      <c r="F420">
        <v>3.3</v>
      </c>
      <c r="G420">
        <v>51</v>
      </c>
      <c r="H420" t="s">
        <v>481</v>
      </c>
    </row>
    <row r="421" spans="1:8" x14ac:dyDescent="0.3">
      <c r="A421" t="s">
        <v>427</v>
      </c>
      <c r="B421">
        <v>1.1499999999999999</v>
      </c>
      <c r="C421" t="s">
        <v>480</v>
      </c>
      <c r="D421">
        <v>185.2</v>
      </c>
      <c r="E421">
        <v>37.200000000000003</v>
      </c>
      <c r="F421">
        <v>3.3</v>
      </c>
      <c r="G421">
        <v>51</v>
      </c>
      <c r="H421" t="s">
        <v>481</v>
      </c>
    </row>
    <row r="422" spans="1:8" x14ac:dyDescent="0.3">
      <c r="A422" t="s">
        <v>428</v>
      </c>
      <c r="B422">
        <v>1.25</v>
      </c>
      <c r="C422" t="s">
        <v>480</v>
      </c>
      <c r="D422">
        <v>233.2</v>
      </c>
      <c r="E422">
        <v>44.1</v>
      </c>
      <c r="F422">
        <v>3.3</v>
      </c>
      <c r="G422">
        <v>51</v>
      </c>
      <c r="H422" t="s">
        <v>481</v>
      </c>
    </row>
    <row r="423" spans="1:8" x14ac:dyDescent="0.3">
      <c r="A423" t="s">
        <v>429</v>
      </c>
      <c r="B423">
        <v>1.25</v>
      </c>
      <c r="C423" t="s">
        <v>480</v>
      </c>
      <c r="D423">
        <v>229.7</v>
      </c>
      <c r="E423">
        <v>34</v>
      </c>
      <c r="F423">
        <v>3.2</v>
      </c>
      <c r="G423">
        <v>51</v>
      </c>
      <c r="H423" t="s">
        <v>482</v>
      </c>
    </row>
    <row r="424" spans="1:8" x14ac:dyDescent="0.3">
      <c r="A424" t="s">
        <v>430</v>
      </c>
      <c r="B424">
        <v>1.2</v>
      </c>
      <c r="C424" t="s">
        <v>480</v>
      </c>
      <c r="D424">
        <v>209.7</v>
      </c>
      <c r="E424">
        <v>43.8</v>
      </c>
      <c r="F424">
        <v>3.2</v>
      </c>
      <c r="G424">
        <v>51</v>
      </c>
      <c r="H424" t="s">
        <v>481</v>
      </c>
    </row>
    <row r="425" spans="1:8" x14ac:dyDescent="0.3">
      <c r="A425" t="s">
        <v>431</v>
      </c>
      <c r="B425">
        <v>1.3</v>
      </c>
      <c r="C425" t="s">
        <v>480</v>
      </c>
      <c r="D425">
        <v>281.2</v>
      </c>
      <c r="E425">
        <v>52.6</v>
      </c>
      <c r="F425">
        <v>3.1</v>
      </c>
      <c r="G425">
        <v>51</v>
      </c>
      <c r="H425" t="s">
        <v>483</v>
      </c>
    </row>
    <row r="426" spans="1:8" x14ac:dyDescent="0.3">
      <c r="A426" t="s">
        <v>432</v>
      </c>
      <c r="B426">
        <v>1.2</v>
      </c>
      <c r="C426" t="s">
        <v>480</v>
      </c>
      <c r="D426">
        <v>238.9</v>
      </c>
      <c r="E426">
        <v>40.9</v>
      </c>
      <c r="F426">
        <v>3.1</v>
      </c>
      <c r="G426">
        <v>51</v>
      </c>
      <c r="H426" t="s">
        <v>483</v>
      </c>
    </row>
    <row r="427" spans="1:8" x14ac:dyDescent="0.3">
      <c r="A427" t="s">
        <v>433</v>
      </c>
      <c r="B427">
        <v>1.25</v>
      </c>
      <c r="C427" t="s">
        <v>480</v>
      </c>
      <c r="D427">
        <v>249.2</v>
      </c>
      <c r="E427">
        <v>55.7</v>
      </c>
      <c r="F427">
        <v>2.9</v>
      </c>
      <c r="G427">
        <v>51</v>
      </c>
      <c r="H427" t="s">
        <v>483</v>
      </c>
    </row>
    <row r="428" spans="1:8" x14ac:dyDescent="0.3">
      <c r="A428" t="s">
        <v>434</v>
      </c>
      <c r="B428">
        <v>1.2</v>
      </c>
      <c r="C428" t="s">
        <v>480</v>
      </c>
      <c r="D428">
        <v>253.7</v>
      </c>
      <c r="E428">
        <v>41.3</v>
      </c>
      <c r="F428">
        <v>2.9</v>
      </c>
      <c r="G428">
        <v>51</v>
      </c>
      <c r="H428" t="s">
        <v>483</v>
      </c>
    </row>
    <row r="429" spans="1:8" x14ac:dyDescent="0.3">
      <c r="A429" t="s">
        <v>435</v>
      </c>
      <c r="B429">
        <v>1.25</v>
      </c>
      <c r="C429" t="s">
        <v>480</v>
      </c>
      <c r="D429">
        <v>261.7</v>
      </c>
      <c r="E429">
        <v>47.1</v>
      </c>
      <c r="F429">
        <v>2.1</v>
      </c>
      <c r="G429">
        <v>51</v>
      </c>
      <c r="H429" t="s">
        <v>483</v>
      </c>
    </row>
    <row r="430" spans="1:8" x14ac:dyDescent="0.3">
      <c r="A430" t="s">
        <v>436</v>
      </c>
      <c r="B430">
        <v>1.3</v>
      </c>
      <c r="C430" t="s">
        <v>480</v>
      </c>
      <c r="D430">
        <v>223.5</v>
      </c>
      <c r="E430">
        <v>37.700000000000003</v>
      </c>
      <c r="F430">
        <v>2</v>
      </c>
      <c r="G430">
        <v>51</v>
      </c>
      <c r="H430" t="s">
        <v>483</v>
      </c>
    </row>
    <row r="431" spans="1:8" x14ac:dyDescent="0.3">
      <c r="A431" t="s">
        <v>437</v>
      </c>
      <c r="B431">
        <v>1.25</v>
      </c>
      <c r="C431" t="s">
        <v>480</v>
      </c>
      <c r="D431">
        <v>202.3</v>
      </c>
      <c r="E431">
        <v>48.7</v>
      </c>
      <c r="F431">
        <v>0</v>
      </c>
      <c r="G431">
        <v>51</v>
      </c>
      <c r="H431" t="s">
        <v>482</v>
      </c>
    </row>
    <row r="432" spans="1:8" x14ac:dyDescent="0.3">
      <c r="A432" t="s">
        <v>438</v>
      </c>
      <c r="B432">
        <v>1.3</v>
      </c>
      <c r="C432" t="s">
        <v>480</v>
      </c>
      <c r="D432">
        <v>249.7</v>
      </c>
      <c r="E432">
        <v>45.5</v>
      </c>
      <c r="F432">
        <v>0</v>
      </c>
      <c r="G432">
        <v>51</v>
      </c>
      <c r="H432" t="s">
        <v>482</v>
      </c>
    </row>
    <row r="433" spans="1:8" x14ac:dyDescent="0.3">
      <c r="A433" t="s">
        <v>439</v>
      </c>
      <c r="B433">
        <v>1.3</v>
      </c>
      <c r="C433" t="s">
        <v>480</v>
      </c>
      <c r="D433">
        <v>188.6</v>
      </c>
      <c r="E433">
        <v>51.3</v>
      </c>
      <c r="F433">
        <v>0</v>
      </c>
      <c r="G433">
        <v>51</v>
      </c>
      <c r="H433" t="s">
        <v>481</v>
      </c>
    </row>
    <row r="434" spans="1:8" x14ac:dyDescent="0.3">
      <c r="A434" t="s">
        <v>440</v>
      </c>
      <c r="B434">
        <v>1.2</v>
      </c>
      <c r="C434" t="s">
        <v>480</v>
      </c>
      <c r="D434">
        <v>163.4</v>
      </c>
      <c r="E434">
        <v>50.7</v>
      </c>
      <c r="F434">
        <v>0</v>
      </c>
      <c r="G434">
        <v>51</v>
      </c>
      <c r="H434" t="s">
        <v>481</v>
      </c>
    </row>
    <row r="435" spans="1:8" x14ac:dyDescent="0.3">
      <c r="A435" t="s">
        <v>441</v>
      </c>
      <c r="B435">
        <v>1.2</v>
      </c>
      <c r="C435" t="s">
        <v>480</v>
      </c>
      <c r="D435">
        <v>182.3</v>
      </c>
      <c r="E435">
        <v>48.4</v>
      </c>
      <c r="G435">
        <v>51</v>
      </c>
      <c r="H435" t="s">
        <v>481</v>
      </c>
    </row>
    <row r="436" spans="1:8" x14ac:dyDescent="0.3">
      <c r="A436" t="s">
        <v>442</v>
      </c>
      <c r="B436">
        <v>1.3</v>
      </c>
      <c r="C436" t="s">
        <v>480</v>
      </c>
      <c r="D436">
        <v>264.60000000000002</v>
      </c>
      <c r="E436">
        <v>37</v>
      </c>
      <c r="G436">
        <v>51</v>
      </c>
      <c r="H436" t="s">
        <v>482</v>
      </c>
    </row>
    <row r="437" spans="1:8" x14ac:dyDescent="0.3">
      <c r="A437" t="s">
        <v>443</v>
      </c>
      <c r="B437">
        <v>1.2</v>
      </c>
      <c r="C437" t="s">
        <v>480</v>
      </c>
      <c r="D437">
        <v>200</v>
      </c>
      <c r="E437">
        <v>54.6</v>
      </c>
      <c r="G437">
        <v>51</v>
      </c>
      <c r="H437" t="s">
        <v>483</v>
      </c>
    </row>
    <row r="438" spans="1:8" x14ac:dyDescent="0.3">
      <c r="A438" t="s">
        <v>444</v>
      </c>
      <c r="B438">
        <v>1.3</v>
      </c>
      <c r="C438" t="s">
        <v>480</v>
      </c>
      <c r="D438">
        <v>286.3</v>
      </c>
      <c r="E438">
        <v>39.299999999999997</v>
      </c>
      <c r="G438">
        <v>51</v>
      </c>
      <c r="H438" t="s">
        <v>483</v>
      </c>
    </row>
    <row r="439" spans="1:8" x14ac:dyDescent="0.3">
      <c r="A439" t="s">
        <v>445</v>
      </c>
      <c r="B439">
        <v>1.25</v>
      </c>
      <c r="C439" t="s">
        <v>480</v>
      </c>
      <c r="D439">
        <v>269.2</v>
      </c>
      <c r="E439">
        <v>51.5</v>
      </c>
      <c r="G439">
        <v>51</v>
      </c>
      <c r="H439" t="s">
        <v>483</v>
      </c>
    </row>
    <row r="440" spans="1:8" x14ac:dyDescent="0.3">
      <c r="A440" t="s">
        <v>446</v>
      </c>
      <c r="B440">
        <v>1.2</v>
      </c>
      <c r="C440" t="s">
        <v>480</v>
      </c>
      <c r="D440">
        <v>258.89999999999998</v>
      </c>
      <c r="E440">
        <v>42.6</v>
      </c>
      <c r="G440">
        <v>51</v>
      </c>
      <c r="H440" t="s">
        <v>482</v>
      </c>
    </row>
    <row r="441" spans="1:8" x14ac:dyDescent="0.3">
      <c r="A441" t="s">
        <v>447</v>
      </c>
      <c r="B441">
        <v>1.25</v>
      </c>
      <c r="C441" t="s">
        <v>480</v>
      </c>
      <c r="D441">
        <v>217.2</v>
      </c>
      <c r="E441">
        <v>60.1</v>
      </c>
      <c r="G441">
        <v>51</v>
      </c>
      <c r="H441" t="s">
        <v>483</v>
      </c>
    </row>
    <row r="442" spans="1:8" x14ac:dyDescent="0.3">
      <c r="A442" t="s">
        <v>448</v>
      </c>
      <c r="B442">
        <v>1.25</v>
      </c>
      <c r="C442" t="s">
        <v>480</v>
      </c>
      <c r="D442">
        <v>181.2</v>
      </c>
      <c r="E442">
        <v>46.3</v>
      </c>
      <c r="G442">
        <v>51</v>
      </c>
      <c r="H442" t="s">
        <v>481</v>
      </c>
    </row>
    <row r="443" spans="1:8" x14ac:dyDescent="0.3">
      <c r="A443" t="s">
        <v>449</v>
      </c>
      <c r="B443">
        <v>1.3</v>
      </c>
      <c r="C443" t="s">
        <v>480</v>
      </c>
      <c r="D443">
        <v>290.89999999999998</v>
      </c>
      <c r="E443">
        <v>36.9</v>
      </c>
      <c r="G443">
        <v>51</v>
      </c>
      <c r="H443" t="s">
        <v>483</v>
      </c>
    </row>
    <row r="444" spans="1:8" x14ac:dyDescent="0.3">
      <c r="A444" t="s">
        <v>450</v>
      </c>
      <c r="B444">
        <v>1.3</v>
      </c>
      <c r="C444" t="s">
        <v>480</v>
      </c>
      <c r="D444">
        <v>286.89999999999998</v>
      </c>
      <c r="E444">
        <v>23.5</v>
      </c>
      <c r="G444">
        <v>51</v>
      </c>
      <c r="H444" t="s">
        <v>481</v>
      </c>
    </row>
    <row r="445" spans="1:8" x14ac:dyDescent="0.3">
      <c r="A445" t="s">
        <v>451</v>
      </c>
      <c r="B445">
        <v>1.27</v>
      </c>
      <c r="C445" t="s">
        <v>480</v>
      </c>
      <c r="D445">
        <v>201.7</v>
      </c>
      <c r="E445">
        <v>28.3</v>
      </c>
      <c r="G445">
        <v>51</v>
      </c>
      <c r="H445" t="s">
        <v>481</v>
      </c>
    </row>
    <row r="446" spans="1:8" x14ac:dyDescent="0.3">
      <c r="A446" t="s">
        <v>452</v>
      </c>
      <c r="B446">
        <v>1.3</v>
      </c>
      <c r="C446" t="s">
        <v>480</v>
      </c>
      <c r="D446">
        <v>207.5</v>
      </c>
      <c r="E446">
        <v>48.5</v>
      </c>
      <c r="G446">
        <v>51</v>
      </c>
      <c r="H446" t="s">
        <v>481</v>
      </c>
    </row>
    <row r="447" spans="1:8" x14ac:dyDescent="0.3">
      <c r="A447" t="s">
        <v>453</v>
      </c>
      <c r="B447">
        <v>1.1499999999999999</v>
      </c>
      <c r="C447" t="s">
        <v>480</v>
      </c>
      <c r="D447">
        <v>200.6</v>
      </c>
      <c r="E447">
        <v>60.4</v>
      </c>
      <c r="G447">
        <v>51</v>
      </c>
      <c r="H447" t="s">
        <v>483</v>
      </c>
    </row>
    <row r="448" spans="1:8" x14ac:dyDescent="0.3">
      <c r="A448" t="s">
        <v>454</v>
      </c>
      <c r="B448">
        <v>1.1499999999999999</v>
      </c>
      <c r="C448" t="s">
        <v>480</v>
      </c>
      <c r="D448">
        <v>159.4</v>
      </c>
      <c r="E448">
        <v>63.7</v>
      </c>
      <c r="G448">
        <v>51</v>
      </c>
      <c r="H448" t="s">
        <v>481</v>
      </c>
    </row>
    <row r="449" spans="1:8" x14ac:dyDescent="0.3">
      <c r="A449" t="s">
        <v>455</v>
      </c>
      <c r="B449">
        <v>1.25</v>
      </c>
      <c r="C449" t="s">
        <v>480</v>
      </c>
      <c r="D449">
        <v>273.2</v>
      </c>
      <c r="E449">
        <v>48.9</v>
      </c>
      <c r="G449">
        <v>51</v>
      </c>
      <c r="H449" t="s">
        <v>483</v>
      </c>
    </row>
    <row r="450" spans="1:8" x14ac:dyDescent="0.3">
      <c r="A450" t="s">
        <v>456</v>
      </c>
      <c r="B450">
        <v>1.3</v>
      </c>
      <c r="C450" t="s">
        <v>480</v>
      </c>
      <c r="D450">
        <v>208.6</v>
      </c>
      <c r="E450">
        <v>45.9</v>
      </c>
      <c r="G450">
        <v>51</v>
      </c>
      <c r="H450" t="s">
        <v>481</v>
      </c>
    </row>
    <row r="451" spans="1:8" x14ac:dyDescent="0.3">
      <c r="A451" t="s">
        <v>457</v>
      </c>
      <c r="B451">
        <v>1.4</v>
      </c>
      <c r="C451" t="s">
        <v>480</v>
      </c>
      <c r="D451">
        <v>314.3</v>
      </c>
      <c r="E451">
        <v>23.5</v>
      </c>
      <c r="G451">
        <v>51</v>
      </c>
      <c r="H451" t="s">
        <v>481</v>
      </c>
    </row>
    <row r="452" spans="1:8" x14ac:dyDescent="0.3">
      <c r="A452" t="s">
        <v>458</v>
      </c>
      <c r="B452">
        <v>1.3</v>
      </c>
      <c r="C452" t="s">
        <v>480</v>
      </c>
      <c r="D452">
        <v>208.6</v>
      </c>
      <c r="E452">
        <v>33.299999999999997</v>
      </c>
      <c r="G452">
        <v>51</v>
      </c>
      <c r="H452" t="s">
        <v>481</v>
      </c>
    </row>
    <row r="453" spans="1:8" x14ac:dyDescent="0.3">
      <c r="A453" t="s">
        <v>459</v>
      </c>
      <c r="B453">
        <v>1.25</v>
      </c>
      <c r="C453" t="s">
        <v>480</v>
      </c>
      <c r="D453">
        <v>217.7</v>
      </c>
      <c r="E453">
        <v>59.5</v>
      </c>
      <c r="G453">
        <v>51</v>
      </c>
      <c r="H453" t="s">
        <v>483</v>
      </c>
    </row>
    <row r="454" spans="1:8" x14ac:dyDescent="0.3">
      <c r="A454" t="s">
        <v>460</v>
      </c>
      <c r="B454">
        <v>1.2</v>
      </c>
      <c r="C454" t="s">
        <v>480</v>
      </c>
      <c r="D454">
        <v>222.3</v>
      </c>
      <c r="E454">
        <v>48.7</v>
      </c>
      <c r="G454">
        <v>51</v>
      </c>
      <c r="H454" t="s">
        <v>481</v>
      </c>
    </row>
    <row r="455" spans="1:8" x14ac:dyDescent="0.3">
      <c r="A455" t="s">
        <v>461</v>
      </c>
      <c r="B455">
        <v>1.25</v>
      </c>
      <c r="C455" t="s">
        <v>480</v>
      </c>
      <c r="D455">
        <v>249.7</v>
      </c>
      <c r="E455">
        <v>24.7</v>
      </c>
      <c r="G455">
        <v>51</v>
      </c>
      <c r="H455" t="s">
        <v>482</v>
      </c>
    </row>
    <row r="456" spans="1:8" x14ac:dyDescent="0.3">
      <c r="A456" t="s">
        <v>462</v>
      </c>
      <c r="B456">
        <v>1.18</v>
      </c>
      <c r="C456" t="s">
        <v>480</v>
      </c>
      <c r="D456">
        <v>216.6</v>
      </c>
      <c r="E456">
        <v>43.7</v>
      </c>
      <c r="G456">
        <v>51</v>
      </c>
      <c r="H456" t="s">
        <v>482</v>
      </c>
    </row>
    <row r="457" spans="1:8" x14ac:dyDescent="0.3">
      <c r="A457" t="s">
        <v>463</v>
      </c>
      <c r="B457">
        <v>1.3</v>
      </c>
      <c r="C457" t="s">
        <v>480</v>
      </c>
      <c r="D457">
        <v>254.3</v>
      </c>
      <c r="E457">
        <v>38.700000000000003</v>
      </c>
      <c r="G457">
        <v>51</v>
      </c>
      <c r="H457" t="s">
        <v>483</v>
      </c>
    </row>
    <row r="458" spans="1:8" x14ac:dyDescent="0.3">
      <c r="A458" t="s">
        <v>464</v>
      </c>
      <c r="B458">
        <v>1.2</v>
      </c>
      <c r="C458" t="s">
        <v>480</v>
      </c>
      <c r="D458">
        <v>162.9</v>
      </c>
      <c r="E458">
        <v>50.3</v>
      </c>
      <c r="G458">
        <v>51</v>
      </c>
      <c r="H458" t="s">
        <v>481</v>
      </c>
    </row>
    <row r="459" spans="1:8" x14ac:dyDescent="0.3">
      <c r="A459" t="s">
        <v>465</v>
      </c>
      <c r="B459">
        <v>1.2</v>
      </c>
      <c r="C459" t="s">
        <v>480</v>
      </c>
      <c r="D459">
        <v>197.7</v>
      </c>
      <c r="E459">
        <v>45</v>
      </c>
      <c r="G459">
        <v>51</v>
      </c>
      <c r="H459" t="s">
        <v>481</v>
      </c>
    </row>
    <row r="460" spans="1:8" x14ac:dyDescent="0.3">
      <c r="A460" t="s">
        <v>466</v>
      </c>
      <c r="B460">
        <v>1.3</v>
      </c>
      <c r="C460" t="s">
        <v>480</v>
      </c>
      <c r="D460">
        <v>200.6</v>
      </c>
      <c r="E460">
        <v>48.2</v>
      </c>
      <c r="G460">
        <v>51</v>
      </c>
      <c r="H460" t="s">
        <v>481</v>
      </c>
    </row>
    <row r="461" spans="1:8" x14ac:dyDescent="0.3">
      <c r="A461" t="s">
        <v>467</v>
      </c>
      <c r="B461">
        <v>1.2</v>
      </c>
      <c r="C461" t="s">
        <v>480</v>
      </c>
      <c r="D461">
        <v>224</v>
      </c>
      <c r="E461">
        <v>50.7</v>
      </c>
      <c r="G461">
        <v>51</v>
      </c>
      <c r="H461" t="s">
        <v>482</v>
      </c>
    </row>
    <row r="462" spans="1:8" x14ac:dyDescent="0.3">
      <c r="A462" t="s">
        <v>468</v>
      </c>
      <c r="B462">
        <v>1.25</v>
      </c>
      <c r="C462" t="s">
        <v>480</v>
      </c>
      <c r="D462">
        <v>281.2</v>
      </c>
      <c r="E462">
        <v>41</v>
      </c>
      <c r="G462">
        <v>51</v>
      </c>
      <c r="H462" t="s">
        <v>483</v>
      </c>
    </row>
    <row r="463" spans="1:8" x14ac:dyDescent="0.3">
      <c r="A463" t="s">
        <v>469</v>
      </c>
      <c r="B463">
        <v>1.3</v>
      </c>
      <c r="C463" t="s">
        <v>480</v>
      </c>
      <c r="D463">
        <v>238.3</v>
      </c>
      <c r="E463">
        <v>18.7</v>
      </c>
      <c r="G463">
        <v>51</v>
      </c>
      <c r="H463" t="s">
        <v>481</v>
      </c>
    </row>
    <row r="464" spans="1:8" x14ac:dyDescent="0.3">
      <c r="A464" t="s">
        <v>470</v>
      </c>
      <c r="B464">
        <v>1.3</v>
      </c>
      <c r="C464" t="s">
        <v>480</v>
      </c>
      <c r="D464">
        <v>276</v>
      </c>
      <c r="E464">
        <v>37.700000000000003</v>
      </c>
      <c r="G464">
        <v>51</v>
      </c>
      <c r="H464" t="s">
        <v>481</v>
      </c>
    </row>
    <row r="465" spans="1:8" x14ac:dyDescent="0.3">
      <c r="A465" t="s">
        <v>471</v>
      </c>
      <c r="B465">
        <v>1.3</v>
      </c>
      <c r="C465" t="s">
        <v>480</v>
      </c>
      <c r="D465">
        <v>274.89999999999998</v>
      </c>
      <c r="E465">
        <v>46.3</v>
      </c>
      <c r="G465">
        <v>51</v>
      </c>
      <c r="H465" t="s">
        <v>483</v>
      </c>
    </row>
    <row r="466" spans="1:8" x14ac:dyDescent="0.3">
      <c r="A466" t="s">
        <v>472</v>
      </c>
      <c r="B466">
        <v>1.25</v>
      </c>
      <c r="C466" t="s">
        <v>480</v>
      </c>
      <c r="D466">
        <v>213.2</v>
      </c>
      <c r="E466">
        <v>48.3</v>
      </c>
      <c r="G466">
        <v>51</v>
      </c>
      <c r="H466" t="s">
        <v>481</v>
      </c>
    </row>
    <row r="467" spans="1:8" x14ac:dyDescent="0.3">
      <c r="A467" t="s">
        <v>473</v>
      </c>
      <c r="B467">
        <v>1.2</v>
      </c>
      <c r="C467" t="s">
        <v>480</v>
      </c>
      <c r="D467">
        <v>250.9</v>
      </c>
      <c r="E467">
        <v>44.4</v>
      </c>
      <c r="G467">
        <v>51</v>
      </c>
      <c r="H467" t="s">
        <v>483</v>
      </c>
    </row>
    <row r="468" spans="1:8" x14ac:dyDescent="0.3">
      <c r="A468" t="s">
        <v>474</v>
      </c>
      <c r="B468">
        <v>1.3</v>
      </c>
      <c r="C468" t="s">
        <v>480</v>
      </c>
      <c r="D468">
        <v>192.6</v>
      </c>
      <c r="E468">
        <v>36.700000000000003</v>
      </c>
      <c r="G468">
        <v>51</v>
      </c>
      <c r="H468" t="s">
        <v>481</v>
      </c>
    </row>
    <row r="469" spans="1:8" x14ac:dyDescent="0.3">
      <c r="A469" t="s">
        <v>475</v>
      </c>
      <c r="B469">
        <v>1.25</v>
      </c>
      <c r="C469" t="s">
        <v>480</v>
      </c>
      <c r="D469">
        <v>249.7</v>
      </c>
      <c r="E469">
        <v>17.600000000000001</v>
      </c>
      <c r="G469">
        <v>51</v>
      </c>
      <c r="H469" t="s">
        <v>481</v>
      </c>
    </row>
    <row r="470" spans="1:8" x14ac:dyDescent="0.3">
      <c r="A470" t="s">
        <v>476</v>
      </c>
      <c r="B470">
        <v>1.25</v>
      </c>
      <c r="C470" t="s">
        <v>480</v>
      </c>
      <c r="D470">
        <v>207.5</v>
      </c>
      <c r="E470">
        <v>28.7</v>
      </c>
      <c r="G470">
        <v>51</v>
      </c>
      <c r="H470" t="s">
        <v>481</v>
      </c>
    </row>
    <row r="471" spans="1:8" x14ac:dyDescent="0.3">
      <c r="A471" t="s">
        <v>477</v>
      </c>
      <c r="B471">
        <v>1.2</v>
      </c>
      <c r="C471" t="s">
        <v>480</v>
      </c>
      <c r="D471">
        <v>161.69999999999999</v>
      </c>
      <c r="E471">
        <v>52.7</v>
      </c>
      <c r="G471">
        <v>51</v>
      </c>
      <c r="H471" t="s">
        <v>481</v>
      </c>
    </row>
    <row r="472" spans="1:8" x14ac:dyDescent="0.3">
      <c r="A472" t="s">
        <v>478</v>
      </c>
      <c r="B472">
        <v>1.28</v>
      </c>
      <c r="C472" t="s">
        <v>480</v>
      </c>
      <c r="D472">
        <v>177.7</v>
      </c>
      <c r="E472">
        <v>28.1</v>
      </c>
      <c r="G472">
        <v>51</v>
      </c>
      <c r="H472" t="s">
        <v>481</v>
      </c>
    </row>
    <row r="473" spans="1:8" x14ac:dyDescent="0.3">
      <c r="A473" t="s">
        <v>479</v>
      </c>
      <c r="B473">
        <v>1.2</v>
      </c>
      <c r="C473" t="s">
        <v>480</v>
      </c>
      <c r="D473">
        <v>229.2</v>
      </c>
      <c r="E473">
        <v>35.9</v>
      </c>
      <c r="G473">
        <v>51</v>
      </c>
      <c r="H473" t="s">
        <v>481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abSelected="1" workbookViewId="0">
      <selection activeCell="B43" sqref="B43"/>
    </sheetView>
  </sheetViews>
  <sheetFormatPr defaultRowHeight="16.5" x14ac:dyDescent="0.3"/>
  <cols>
    <col min="1" max="1" width="30.75" customWidth="1"/>
    <col min="2" max="9" width="12.75" customWidth="1"/>
    <col min="10" max="11" width="25.75" customWidth="1"/>
    <col min="12" max="12" width="15.75" customWidth="1"/>
  </cols>
  <sheetData>
    <row r="1" spans="1:12" x14ac:dyDescent="0.3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491</v>
      </c>
      <c r="I1" s="2" t="s">
        <v>492</v>
      </c>
      <c r="J1" s="2" t="s">
        <v>493</v>
      </c>
      <c r="K1" s="2" t="s">
        <v>494</v>
      </c>
      <c r="L1" s="2" t="s">
        <v>495</v>
      </c>
    </row>
    <row r="2" spans="1:12" x14ac:dyDescent="0.3">
      <c r="A2" s="3" t="s">
        <v>496</v>
      </c>
      <c r="B2" s="3">
        <v>100</v>
      </c>
      <c r="C2" s="3" t="s">
        <v>497</v>
      </c>
      <c r="D2" s="3">
        <v>60</v>
      </c>
      <c r="E2" s="3">
        <v>20</v>
      </c>
      <c r="F2" s="3">
        <v>20</v>
      </c>
      <c r="G2" s="3">
        <v>20</v>
      </c>
      <c r="H2" s="3">
        <v>330</v>
      </c>
      <c r="I2" s="3">
        <v>32.5</v>
      </c>
      <c r="J2" s="4">
        <f t="shared" ref="J2:J33" si="0">IF(A2="","", ROUND(E2*0.3 + F2*0.5 + G2*0.2, 2))</f>
        <v>20</v>
      </c>
      <c r="K2" s="4">
        <f t="shared" ref="K2:K33" si="1">IF(A2="","", ROUND(300 + (B2-100)*30 + (D2-62)*30 + (J2-23)*20 + (H2-326)*-5 + (I2-32.5)*40 + (360 - (VALUE(LEFT(C2, FIND("x", C2)-1)) * VALUE(RIGHT(C2, LEN(C2)-FIND("x", C2)))))*3, 0))</f>
        <v>160</v>
      </c>
      <c r="L2" s="3">
        <v>200</v>
      </c>
    </row>
    <row r="3" spans="1:12" x14ac:dyDescent="0.3">
      <c r="A3" s="3" t="s">
        <v>498</v>
      </c>
      <c r="B3" s="3">
        <v>100</v>
      </c>
      <c r="C3" s="3" t="s">
        <v>497</v>
      </c>
      <c r="D3" s="3">
        <v>62</v>
      </c>
      <c r="E3" s="3">
        <v>23</v>
      </c>
      <c r="F3" s="3">
        <v>23</v>
      </c>
      <c r="G3" s="3">
        <v>23</v>
      </c>
      <c r="H3" s="3">
        <v>326</v>
      </c>
      <c r="I3" s="3">
        <v>32.5</v>
      </c>
      <c r="J3" s="4">
        <f t="shared" si="0"/>
        <v>23</v>
      </c>
      <c r="K3" s="4">
        <f t="shared" si="1"/>
        <v>300</v>
      </c>
      <c r="L3" s="3">
        <v>300</v>
      </c>
    </row>
    <row r="4" spans="1:12" x14ac:dyDescent="0.3">
      <c r="A4" s="3" t="s">
        <v>499</v>
      </c>
      <c r="B4" s="3">
        <v>100</v>
      </c>
      <c r="C4" s="3" t="s">
        <v>497</v>
      </c>
      <c r="D4" s="3">
        <v>61</v>
      </c>
      <c r="E4" s="3">
        <v>22</v>
      </c>
      <c r="F4" s="3">
        <v>22</v>
      </c>
      <c r="G4" s="3">
        <v>22</v>
      </c>
      <c r="H4" s="3">
        <v>323</v>
      </c>
      <c r="I4" s="3">
        <v>33</v>
      </c>
      <c r="J4" s="4">
        <f t="shared" si="0"/>
        <v>22</v>
      </c>
      <c r="K4" s="4">
        <f t="shared" si="1"/>
        <v>285</v>
      </c>
      <c r="L4" s="3">
        <v>300</v>
      </c>
    </row>
    <row r="5" spans="1:12" x14ac:dyDescent="0.3">
      <c r="A5" s="3" t="s">
        <v>500</v>
      </c>
      <c r="B5" s="3">
        <v>98</v>
      </c>
      <c r="C5" s="3" t="s">
        <v>501</v>
      </c>
      <c r="D5" s="3">
        <v>59</v>
      </c>
      <c r="E5" s="3">
        <v>22</v>
      </c>
      <c r="F5" s="3">
        <v>22</v>
      </c>
      <c r="G5" s="3">
        <v>22</v>
      </c>
      <c r="H5" s="3">
        <v>323</v>
      </c>
      <c r="I5" s="3">
        <v>33</v>
      </c>
      <c r="J5" s="4">
        <f t="shared" si="0"/>
        <v>22</v>
      </c>
      <c r="K5" s="4">
        <f t="shared" si="1"/>
        <v>333</v>
      </c>
      <c r="L5" s="3">
        <v>300</v>
      </c>
    </row>
    <row r="6" spans="1:12" x14ac:dyDescent="0.3">
      <c r="A6" s="3" t="s">
        <v>502</v>
      </c>
      <c r="B6" s="3">
        <v>100</v>
      </c>
      <c r="C6" s="3" t="s">
        <v>503</v>
      </c>
      <c r="D6" s="3">
        <v>59</v>
      </c>
      <c r="E6" s="3">
        <v>22</v>
      </c>
      <c r="F6" s="3">
        <v>22</v>
      </c>
      <c r="G6" s="3">
        <v>22</v>
      </c>
      <c r="H6" s="3">
        <v>312</v>
      </c>
      <c r="I6" s="3">
        <v>33.479999999999997</v>
      </c>
      <c r="J6" s="4">
        <f t="shared" si="0"/>
        <v>22</v>
      </c>
      <c r="K6" s="4">
        <f t="shared" si="1"/>
        <v>419</v>
      </c>
      <c r="L6" s="3">
        <v>400</v>
      </c>
    </row>
    <row r="7" spans="1:12" x14ac:dyDescent="0.3">
      <c r="A7" s="3" t="s">
        <v>504</v>
      </c>
      <c r="B7" s="3">
        <v>100</v>
      </c>
      <c r="C7" s="3" t="s">
        <v>503</v>
      </c>
      <c r="D7" s="3">
        <v>57</v>
      </c>
      <c r="E7" s="3">
        <v>22</v>
      </c>
      <c r="F7" s="3">
        <v>22</v>
      </c>
      <c r="G7" s="3">
        <v>22</v>
      </c>
      <c r="H7" s="3">
        <v>312</v>
      </c>
      <c r="I7" s="3">
        <v>33.479999999999997</v>
      </c>
      <c r="J7" s="4">
        <f t="shared" si="0"/>
        <v>22</v>
      </c>
      <c r="K7" s="4">
        <f t="shared" si="1"/>
        <v>359</v>
      </c>
      <c r="L7" s="3">
        <v>400</v>
      </c>
    </row>
    <row r="8" spans="1:12" x14ac:dyDescent="0.3">
      <c r="A8" s="3" t="s">
        <v>505</v>
      </c>
      <c r="B8" s="3">
        <v>100</v>
      </c>
      <c r="C8" s="3" t="s">
        <v>501</v>
      </c>
      <c r="D8" s="3">
        <v>60</v>
      </c>
      <c r="E8" s="3">
        <v>23</v>
      </c>
      <c r="F8" s="3">
        <v>23</v>
      </c>
      <c r="G8" s="3">
        <v>23</v>
      </c>
      <c r="H8" s="3">
        <v>315</v>
      </c>
      <c r="I8" s="3">
        <v>33.020000000000003</v>
      </c>
      <c r="J8" s="4">
        <f t="shared" si="0"/>
        <v>23</v>
      </c>
      <c r="K8" s="4">
        <f t="shared" si="1"/>
        <v>484</v>
      </c>
      <c r="L8" s="3">
        <v>500</v>
      </c>
    </row>
    <row r="9" spans="1:12" x14ac:dyDescent="0.3">
      <c r="A9" s="3" t="s">
        <v>506</v>
      </c>
      <c r="B9" s="3">
        <v>98</v>
      </c>
      <c r="C9" s="3" t="s">
        <v>501</v>
      </c>
      <c r="D9" s="3">
        <v>65</v>
      </c>
      <c r="E9" s="3">
        <v>22</v>
      </c>
      <c r="F9" s="3">
        <v>23</v>
      </c>
      <c r="G9" s="3">
        <v>21</v>
      </c>
      <c r="H9" s="3">
        <v>323</v>
      </c>
      <c r="I9" s="3">
        <v>32</v>
      </c>
      <c r="J9" s="4">
        <f t="shared" si="0"/>
        <v>22.3</v>
      </c>
      <c r="K9" s="4">
        <f t="shared" si="1"/>
        <v>479</v>
      </c>
      <c r="L9" s="3">
        <v>500</v>
      </c>
    </row>
    <row r="10" spans="1:12" x14ac:dyDescent="0.3">
      <c r="A10" s="3" t="s">
        <v>507</v>
      </c>
      <c r="B10" s="3">
        <v>100</v>
      </c>
      <c r="C10" s="3" t="s">
        <v>501</v>
      </c>
      <c r="D10" s="3">
        <v>64</v>
      </c>
      <c r="E10" s="3">
        <v>24</v>
      </c>
      <c r="F10" s="3">
        <v>24</v>
      </c>
      <c r="G10" s="3">
        <v>23.5</v>
      </c>
      <c r="H10" s="3">
        <v>312</v>
      </c>
      <c r="I10" s="3">
        <v>32.5</v>
      </c>
      <c r="J10" s="4">
        <f t="shared" si="0"/>
        <v>23.9</v>
      </c>
      <c r="K10" s="4">
        <f t="shared" si="1"/>
        <v>616</v>
      </c>
      <c r="L10" s="3">
        <v>600</v>
      </c>
    </row>
    <row r="11" spans="1:12" x14ac:dyDescent="0.3">
      <c r="A11" s="10" t="s">
        <v>529</v>
      </c>
      <c r="B11" s="10">
        <v>98</v>
      </c>
      <c r="C11" s="10" t="s">
        <v>530</v>
      </c>
      <c r="D11" s="10">
        <v>63</v>
      </c>
      <c r="E11" s="10">
        <v>22.5</v>
      </c>
      <c r="F11" s="10">
        <v>22.5</v>
      </c>
      <c r="G11" s="10">
        <v>22.5</v>
      </c>
      <c r="H11" s="10">
        <v>320</v>
      </c>
      <c r="I11" s="10">
        <v>32.49</v>
      </c>
      <c r="J11" s="4">
        <f t="shared" si="0"/>
        <v>22.5</v>
      </c>
      <c r="K11" s="4">
        <f t="shared" si="1"/>
        <v>344</v>
      </c>
      <c r="L11" s="5"/>
    </row>
    <row r="12" spans="1:12" x14ac:dyDescent="0.3">
      <c r="A12" s="10" t="s">
        <v>531</v>
      </c>
      <c r="B12" s="10">
        <v>98</v>
      </c>
      <c r="C12" s="10" t="s">
        <v>530</v>
      </c>
      <c r="D12" s="10">
        <v>64</v>
      </c>
      <c r="E12" s="10">
        <v>22.5</v>
      </c>
      <c r="F12" s="10">
        <v>22.5</v>
      </c>
      <c r="G12" s="10">
        <v>22.5</v>
      </c>
      <c r="H12" s="10">
        <v>320</v>
      </c>
      <c r="I12" s="10">
        <v>33.32</v>
      </c>
      <c r="J12" s="4">
        <f t="shared" si="0"/>
        <v>22.5</v>
      </c>
      <c r="K12" s="4">
        <f t="shared" si="1"/>
        <v>407</v>
      </c>
      <c r="L12" s="5"/>
    </row>
    <row r="13" spans="1:12" x14ac:dyDescent="0.3">
      <c r="A13" s="10" t="s">
        <v>532</v>
      </c>
      <c r="B13" s="10">
        <v>100</v>
      </c>
      <c r="C13" s="10" t="s">
        <v>533</v>
      </c>
      <c r="D13" s="10">
        <v>62</v>
      </c>
      <c r="E13" s="10">
        <v>22</v>
      </c>
      <c r="F13" s="10">
        <v>23</v>
      </c>
      <c r="G13" s="10">
        <v>20</v>
      </c>
      <c r="H13" s="10">
        <v>306</v>
      </c>
      <c r="I13" s="10">
        <v>33</v>
      </c>
      <c r="J13" s="4">
        <f t="shared" si="0"/>
        <v>22.1</v>
      </c>
      <c r="K13" s="4">
        <f t="shared" si="1"/>
        <v>618</v>
      </c>
      <c r="L13" s="5"/>
    </row>
    <row r="14" spans="1:12" x14ac:dyDescent="0.3">
      <c r="A14" s="10" t="s">
        <v>534</v>
      </c>
      <c r="B14" s="10">
        <v>98</v>
      </c>
      <c r="C14" s="10" t="s">
        <v>535</v>
      </c>
      <c r="D14" s="10">
        <v>65</v>
      </c>
      <c r="E14" s="10">
        <v>20</v>
      </c>
      <c r="F14" s="10">
        <v>21.5</v>
      </c>
      <c r="G14" s="10">
        <v>21</v>
      </c>
      <c r="H14" s="10">
        <v>332</v>
      </c>
      <c r="I14" s="10">
        <v>32.39</v>
      </c>
      <c r="J14" s="4">
        <f t="shared" si="0"/>
        <v>20.95</v>
      </c>
      <c r="K14" s="4">
        <f t="shared" si="1"/>
        <v>423</v>
      </c>
      <c r="L14" s="5"/>
    </row>
    <row r="15" spans="1:12" x14ac:dyDescent="0.3">
      <c r="A15" s="10" t="s">
        <v>536</v>
      </c>
      <c r="B15" s="10">
        <v>98</v>
      </c>
      <c r="C15" s="10" t="s">
        <v>535</v>
      </c>
      <c r="D15" s="10">
        <v>66</v>
      </c>
      <c r="E15" s="10">
        <v>20</v>
      </c>
      <c r="F15" s="10">
        <v>23</v>
      </c>
      <c r="G15" s="10">
        <v>21</v>
      </c>
      <c r="H15" s="10">
        <v>318</v>
      </c>
      <c r="I15" s="10">
        <v>33.020000000000003</v>
      </c>
      <c r="J15" s="4">
        <f t="shared" si="0"/>
        <v>21.7</v>
      </c>
      <c r="K15" s="4">
        <f t="shared" si="1"/>
        <v>563</v>
      </c>
      <c r="L15" s="5"/>
    </row>
    <row r="16" spans="1:12" x14ac:dyDescent="0.3">
      <c r="A16" s="10" t="s">
        <v>537</v>
      </c>
      <c r="B16" s="10">
        <v>98</v>
      </c>
      <c r="C16" s="10" t="s">
        <v>538</v>
      </c>
      <c r="D16" s="10">
        <v>63</v>
      </c>
      <c r="E16" s="10">
        <v>20</v>
      </c>
      <c r="F16" s="10">
        <v>23</v>
      </c>
      <c r="G16" s="10">
        <v>21</v>
      </c>
      <c r="H16" s="10">
        <v>323</v>
      </c>
      <c r="I16" s="10">
        <v>32.39</v>
      </c>
      <c r="J16" s="4">
        <f t="shared" si="0"/>
        <v>21.7</v>
      </c>
      <c r="K16" s="4">
        <f t="shared" si="1"/>
        <v>255</v>
      </c>
      <c r="L16" s="5"/>
    </row>
    <row r="17" spans="1:12" x14ac:dyDescent="0.3">
      <c r="A17" s="10" t="s">
        <v>539</v>
      </c>
      <c r="B17" s="10">
        <v>102</v>
      </c>
      <c r="C17" s="10" t="s">
        <v>535</v>
      </c>
      <c r="D17" s="10">
        <v>63</v>
      </c>
      <c r="E17" s="10">
        <v>22</v>
      </c>
      <c r="F17" s="10">
        <v>25</v>
      </c>
      <c r="G17" s="10">
        <v>23</v>
      </c>
      <c r="H17" s="10">
        <v>295</v>
      </c>
      <c r="I17" s="10">
        <v>33.020000000000003</v>
      </c>
      <c r="J17" s="4">
        <f t="shared" si="0"/>
        <v>23.7</v>
      </c>
      <c r="K17" s="4">
        <f t="shared" si="1"/>
        <v>748</v>
      </c>
      <c r="L17" s="5"/>
    </row>
    <row r="18" spans="1:12" x14ac:dyDescent="0.3">
      <c r="A18" s="10" t="s">
        <v>540</v>
      </c>
      <c r="B18" s="10">
        <v>100</v>
      </c>
      <c r="C18" s="10" t="s">
        <v>535</v>
      </c>
      <c r="D18" s="10">
        <v>65</v>
      </c>
      <c r="E18" s="10">
        <v>23</v>
      </c>
      <c r="F18" s="10">
        <v>23</v>
      </c>
      <c r="G18" s="10">
        <v>23</v>
      </c>
      <c r="H18" s="10">
        <v>283</v>
      </c>
      <c r="I18" s="10">
        <v>32.99</v>
      </c>
      <c r="J18" s="4">
        <f t="shared" si="0"/>
        <v>23</v>
      </c>
      <c r="K18" s="4">
        <f t="shared" si="1"/>
        <v>793</v>
      </c>
      <c r="L18" s="5"/>
    </row>
    <row r="19" spans="1:12" x14ac:dyDescent="0.3">
      <c r="A19" s="10" t="s">
        <v>541</v>
      </c>
      <c r="B19" s="10">
        <v>98</v>
      </c>
      <c r="C19" s="10" t="s">
        <v>542</v>
      </c>
      <c r="D19" s="10">
        <v>69</v>
      </c>
      <c r="E19" s="10">
        <v>21</v>
      </c>
      <c r="F19" s="10">
        <v>23</v>
      </c>
      <c r="G19" s="10">
        <v>21</v>
      </c>
      <c r="H19" s="10">
        <v>323</v>
      </c>
      <c r="I19" s="10">
        <v>33.479999999999997</v>
      </c>
      <c r="J19" s="4">
        <f t="shared" si="0"/>
        <v>22</v>
      </c>
      <c r="K19" s="4">
        <f t="shared" si="1"/>
        <v>604</v>
      </c>
      <c r="L19" s="5"/>
    </row>
    <row r="20" spans="1:12" x14ac:dyDescent="0.3">
      <c r="A20" s="10" t="s">
        <v>543</v>
      </c>
      <c r="B20" s="10">
        <v>100</v>
      </c>
      <c r="C20" s="10" t="s">
        <v>535</v>
      </c>
      <c r="D20" s="10">
        <v>69</v>
      </c>
      <c r="E20" s="10">
        <v>23</v>
      </c>
      <c r="F20" s="10">
        <v>26</v>
      </c>
      <c r="G20" s="10">
        <v>23</v>
      </c>
      <c r="H20" s="10">
        <v>318</v>
      </c>
      <c r="I20" s="10">
        <v>32.99</v>
      </c>
      <c r="J20" s="4">
        <f t="shared" si="0"/>
        <v>24.5</v>
      </c>
      <c r="K20" s="4">
        <f t="shared" si="1"/>
        <v>768</v>
      </c>
      <c r="L20" s="5"/>
    </row>
    <row r="21" spans="1:12" x14ac:dyDescent="0.3">
      <c r="A21" s="10" t="s">
        <v>544</v>
      </c>
      <c r="B21" s="10">
        <v>100</v>
      </c>
      <c r="C21" s="10" t="s">
        <v>535</v>
      </c>
      <c r="D21" s="10">
        <v>66</v>
      </c>
      <c r="E21" s="10">
        <v>23</v>
      </c>
      <c r="F21" s="10">
        <v>26</v>
      </c>
      <c r="G21" s="10">
        <v>23</v>
      </c>
      <c r="H21" s="10">
        <v>318</v>
      </c>
      <c r="I21" s="10">
        <v>32.99</v>
      </c>
      <c r="J21" s="4">
        <f t="shared" si="0"/>
        <v>24.5</v>
      </c>
      <c r="K21" s="4">
        <f t="shared" si="1"/>
        <v>678</v>
      </c>
      <c r="L21" s="5"/>
    </row>
    <row r="22" spans="1:12" x14ac:dyDescent="0.3">
      <c r="A22" s="10" t="s">
        <v>545</v>
      </c>
      <c r="B22" s="10">
        <v>98</v>
      </c>
      <c r="C22" s="10" t="s">
        <v>542</v>
      </c>
      <c r="D22" s="10">
        <v>66</v>
      </c>
      <c r="E22" s="10">
        <v>21</v>
      </c>
      <c r="F22" s="10">
        <v>23</v>
      </c>
      <c r="G22" s="10">
        <v>22</v>
      </c>
      <c r="H22" s="10">
        <v>323</v>
      </c>
      <c r="I22" s="10">
        <v>32.49</v>
      </c>
      <c r="J22" s="4">
        <f t="shared" si="0"/>
        <v>22.2</v>
      </c>
      <c r="K22" s="4">
        <f t="shared" si="1"/>
        <v>479</v>
      </c>
      <c r="L22" s="5"/>
    </row>
    <row r="23" spans="1:12" x14ac:dyDescent="0.3">
      <c r="A23" s="10" t="s">
        <v>546</v>
      </c>
      <c r="B23" s="10">
        <v>98</v>
      </c>
      <c r="C23" s="10" t="s">
        <v>535</v>
      </c>
      <c r="D23" s="10">
        <v>64</v>
      </c>
      <c r="E23" s="10">
        <v>21</v>
      </c>
      <c r="F23" s="10">
        <v>23</v>
      </c>
      <c r="G23" s="10">
        <v>21</v>
      </c>
      <c r="H23" s="10">
        <v>323</v>
      </c>
      <c r="I23" s="10">
        <v>33.020000000000003</v>
      </c>
      <c r="J23" s="4">
        <f t="shared" si="0"/>
        <v>22</v>
      </c>
      <c r="K23" s="4">
        <f t="shared" si="1"/>
        <v>484</v>
      </c>
      <c r="L23" s="5"/>
    </row>
    <row r="24" spans="1:12" x14ac:dyDescent="0.3">
      <c r="A24" s="10" t="s">
        <v>547</v>
      </c>
      <c r="B24" s="10">
        <v>100</v>
      </c>
      <c r="C24" s="10" t="s">
        <v>535</v>
      </c>
      <c r="D24" s="10">
        <v>63</v>
      </c>
      <c r="E24" s="10">
        <v>21</v>
      </c>
      <c r="F24" s="10">
        <v>23</v>
      </c>
      <c r="G24" s="10">
        <v>21</v>
      </c>
      <c r="H24" s="10">
        <v>318</v>
      </c>
      <c r="I24" s="10">
        <v>32.99</v>
      </c>
      <c r="J24" s="4">
        <f t="shared" si="0"/>
        <v>22</v>
      </c>
      <c r="K24" s="4">
        <f t="shared" si="1"/>
        <v>538</v>
      </c>
      <c r="L24" s="5"/>
    </row>
    <row r="25" spans="1:12" x14ac:dyDescent="0.3">
      <c r="A25" s="10" t="s">
        <v>548</v>
      </c>
      <c r="B25" s="10">
        <v>98</v>
      </c>
      <c r="C25" s="10" t="s">
        <v>535</v>
      </c>
      <c r="D25" s="10">
        <v>69</v>
      </c>
      <c r="E25" s="10">
        <v>23</v>
      </c>
      <c r="F25" s="10">
        <v>26</v>
      </c>
      <c r="G25" s="10">
        <v>23</v>
      </c>
      <c r="H25" s="10">
        <v>323</v>
      </c>
      <c r="I25" s="10">
        <v>32.49</v>
      </c>
      <c r="J25" s="4">
        <f t="shared" si="0"/>
        <v>24.5</v>
      </c>
      <c r="K25" s="4">
        <f t="shared" si="1"/>
        <v>663</v>
      </c>
      <c r="L25" s="5"/>
    </row>
    <row r="26" spans="1:12" x14ac:dyDescent="0.3">
      <c r="A26" s="10" t="s">
        <v>549</v>
      </c>
      <c r="B26" s="10">
        <v>100</v>
      </c>
      <c r="C26" s="10" t="s">
        <v>535</v>
      </c>
      <c r="D26" s="10">
        <v>69</v>
      </c>
      <c r="E26" s="10">
        <v>23</v>
      </c>
      <c r="F26" s="10">
        <v>26</v>
      </c>
      <c r="G26" s="10">
        <v>23</v>
      </c>
      <c r="H26" s="10">
        <v>318</v>
      </c>
      <c r="I26" s="10">
        <v>33.020000000000003</v>
      </c>
      <c r="J26" s="4">
        <f t="shared" si="0"/>
        <v>24.5</v>
      </c>
      <c r="K26" s="4">
        <f t="shared" si="1"/>
        <v>769</v>
      </c>
      <c r="L26" s="5"/>
    </row>
    <row r="27" spans="1:12" x14ac:dyDescent="0.3">
      <c r="A27" s="10" t="s">
        <v>550</v>
      </c>
      <c r="B27" s="10">
        <v>100</v>
      </c>
      <c r="C27" s="10" t="s">
        <v>535</v>
      </c>
      <c r="D27" s="10">
        <v>60</v>
      </c>
      <c r="E27" s="10">
        <v>23</v>
      </c>
      <c r="F27" s="10">
        <v>23</v>
      </c>
      <c r="G27" s="10">
        <v>23</v>
      </c>
      <c r="H27" s="10">
        <v>318</v>
      </c>
      <c r="I27" s="10">
        <v>33.020000000000003</v>
      </c>
      <c r="J27" s="4">
        <f t="shared" si="0"/>
        <v>23</v>
      </c>
      <c r="K27" s="4">
        <f t="shared" si="1"/>
        <v>469</v>
      </c>
      <c r="L27" s="5"/>
    </row>
    <row r="28" spans="1:12" x14ac:dyDescent="0.3">
      <c r="A28" s="10" t="s">
        <v>551</v>
      </c>
      <c r="B28" s="10">
        <v>97</v>
      </c>
      <c r="C28" s="10" t="s">
        <v>535</v>
      </c>
      <c r="D28" s="10">
        <v>61</v>
      </c>
      <c r="E28" s="10">
        <v>23</v>
      </c>
      <c r="F28" s="10">
        <v>23</v>
      </c>
      <c r="G28" s="10">
        <v>23</v>
      </c>
      <c r="H28" s="10">
        <v>323</v>
      </c>
      <c r="I28" s="10">
        <v>32.49</v>
      </c>
      <c r="J28" s="4">
        <f t="shared" si="0"/>
        <v>23</v>
      </c>
      <c r="K28" s="4">
        <f t="shared" si="1"/>
        <v>363</v>
      </c>
      <c r="L28" s="5"/>
    </row>
    <row r="29" spans="1:12" x14ac:dyDescent="0.3">
      <c r="A29" s="10" t="s">
        <v>552</v>
      </c>
      <c r="B29" s="10">
        <v>100</v>
      </c>
      <c r="C29" s="10" t="s">
        <v>538</v>
      </c>
      <c r="D29" s="10">
        <v>61</v>
      </c>
      <c r="E29" s="10">
        <v>23</v>
      </c>
      <c r="F29" s="10">
        <v>23</v>
      </c>
      <c r="G29" s="10">
        <v>23</v>
      </c>
      <c r="H29" s="10">
        <v>326</v>
      </c>
      <c r="I29" s="10">
        <v>31.98</v>
      </c>
      <c r="J29" s="4">
        <f t="shared" si="0"/>
        <v>23</v>
      </c>
      <c r="K29" s="4">
        <f t="shared" si="1"/>
        <v>249</v>
      </c>
      <c r="L29" s="5"/>
    </row>
    <row r="30" spans="1:12" x14ac:dyDescent="0.3">
      <c r="A30" s="10" t="s">
        <v>553</v>
      </c>
      <c r="B30" s="10">
        <v>98</v>
      </c>
      <c r="C30" s="10" t="s">
        <v>535</v>
      </c>
      <c r="D30" s="10">
        <v>63</v>
      </c>
      <c r="E30" s="10">
        <v>23</v>
      </c>
      <c r="F30" s="10">
        <v>23.5</v>
      </c>
      <c r="G30" s="10">
        <v>22</v>
      </c>
      <c r="H30" s="10">
        <v>323</v>
      </c>
      <c r="I30" s="10">
        <v>32.49</v>
      </c>
      <c r="J30" s="4">
        <f t="shared" si="0"/>
        <v>23.05</v>
      </c>
      <c r="K30" s="4">
        <f t="shared" si="1"/>
        <v>454</v>
      </c>
      <c r="L30" s="5"/>
    </row>
    <row r="31" spans="1:12" x14ac:dyDescent="0.3">
      <c r="A31" s="10" t="s">
        <v>554</v>
      </c>
      <c r="B31" s="10">
        <v>100</v>
      </c>
      <c r="C31" s="10" t="s">
        <v>535</v>
      </c>
      <c r="D31" s="10">
        <v>65</v>
      </c>
      <c r="E31" s="10">
        <v>24</v>
      </c>
      <c r="F31" s="10">
        <v>26</v>
      </c>
      <c r="G31" s="10">
        <v>23</v>
      </c>
      <c r="H31" s="10">
        <v>318</v>
      </c>
      <c r="I31" s="10">
        <v>33.020000000000003</v>
      </c>
      <c r="J31" s="4">
        <f t="shared" si="0"/>
        <v>24.8</v>
      </c>
      <c r="K31" s="4">
        <f t="shared" si="1"/>
        <v>655</v>
      </c>
      <c r="L31" s="5"/>
    </row>
    <row r="32" spans="1:12" x14ac:dyDescent="0.3">
      <c r="A32" s="10" t="s">
        <v>555</v>
      </c>
      <c r="B32" s="10">
        <v>100</v>
      </c>
      <c r="C32" s="10" t="s">
        <v>535</v>
      </c>
      <c r="D32" s="10">
        <v>68</v>
      </c>
      <c r="E32" s="10">
        <v>24.5</v>
      </c>
      <c r="F32" s="10">
        <v>26.5</v>
      </c>
      <c r="G32" s="10">
        <v>23</v>
      </c>
      <c r="H32" s="10">
        <v>318</v>
      </c>
      <c r="I32" s="10">
        <v>33.020000000000003</v>
      </c>
      <c r="J32" s="4">
        <f t="shared" si="0"/>
        <v>25.2</v>
      </c>
      <c r="K32" s="4">
        <f t="shared" si="1"/>
        <v>753</v>
      </c>
      <c r="L32" s="5"/>
    </row>
    <row r="33" spans="1:12" x14ac:dyDescent="0.3">
      <c r="A33" s="11" t="s">
        <v>556</v>
      </c>
      <c r="B33" s="11">
        <v>98</v>
      </c>
      <c r="C33" s="11" t="s">
        <v>535</v>
      </c>
      <c r="D33" s="11">
        <v>63</v>
      </c>
      <c r="E33" s="11">
        <v>23.8</v>
      </c>
      <c r="F33" s="11">
        <v>24.5</v>
      </c>
      <c r="G33" s="11">
        <v>19.5</v>
      </c>
      <c r="H33" s="11">
        <v>323</v>
      </c>
      <c r="I33" s="11">
        <v>32.49</v>
      </c>
      <c r="J33" s="4">
        <f t="shared" si="0"/>
        <v>23.29</v>
      </c>
      <c r="K33" s="4">
        <f t="shared" si="1"/>
        <v>458</v>
      </c>
      <c r="L33" s="5"/>
    </row>
    <row r="34" spans="1:12" x14ac:dyDescent="0.3">
      <c r="A34" s="12" t="s">
        <v>557</v>
      </c>
      <c r="B34" s="12">
        <v>100</v>
      </c>
      <c r="C34" s="12" t="s">
        <v>497</v>
      </c>
      <c r="D34" s="12">
        <v>60</v>
      </c>
      <c r="E34" s="12">
        <v>23</v>
      </c>
      <c r="F34" s="12">
        <v>23</v>
      </c>
      <c r="G34" s="12">
        <v>23</v>
      </c>
      <c r="H34" s="12">
        <v>326</v>
      </c>
      <c r="I34" s="12">
        <v>32</v>
      </c>
      <c r="J34" s="4">
        <f t="shared" ref="J34:J65" si="2">IF(A34="","", ROUND(E34*0.3 + F34*0.5 + G34*0.2, 2))</f>
        <v>23</v>
      </c>
      <c r="K34" s="4">
        <f t="shared" ref="K34:K65" si="3">IF(A34="","", ROUND(300 + (B34-100)*30 + (D34-62)*30 + (J34-23)*20 + (H34-326)*-5 + (I34-32.5)*40 + (360 - (VALUE(LEFT(C34, FIND("x", C34)-1)) * VALUE(RIGHT(C34, LEN(C34)-FIND("x", C34)))))*3, 0))</f>
        <v>220</v>
      </c>
      <c r="L34" s="5"/>
    </row>
    <row r="35" spans="1:12" x14ac:dyDescent="0.3">
      <c r="A35" s="12" t="s">
        <v>558</v>
      </c>
      <c r="B35" s="12">
        <v>98</v>
      </c>
      <c r="C35" s="12" t="s">
        <v>497</v>
      </c>
      <c r="D35" s="12">
        <v>60</v>
      </c>
      <c r="E35" s="12">
        <v>21</v>
      </c>
      <c r="F35" s="12">
        <v>21</v>
      </c>
      <c r="G35" s="12">
        <v>21</v>
      </c>
      <c r="H35" s="12">
        <v>323</v>
      </c>
      <c r="I35" s="12">
        <v>33</v>
      </c>
      <c r="J35" s="4">
        <f t="shared" si="2"/>
        <v>21</v>
      </c>
      <c r="K35" s="4">
        <f t="shared" si="3"/>
        <v>175</v>
      </c>
      <c r="L35" s="5"/>
    </row>
    <row r="36" spans="1:12" x14ac:dyDescent="0.3">
      <c r="A36" s="12" t="s">
        <v>559</v>
      </c>
      <c r="B36" s="12">
        <v>98</v>
      </c>
      <c r="C36" s="12" t="s">
        <v>501</v>
      </c>
      <c r="D36" s="12">
        <v>62</v>
      </c>
      <c r="E36" s="12">
        <v>22.5</v>
      </c>
      <c r="F36" s="12">
        <v>23</v>
      </c>
      <c r="G36" s="12">
        <v>21</v>
      </c>
      <c r="H36" s="12">
        <v>323</v>
      </c>
      <c r="I36" s="12">
        <v>32.5</v>
      </c>
      <c r="J36" s="4">
        <f t="shared" si="2"/>
        <v>22.45</v>
      </c>
      <c r="K36" s="4">
        <f t="shared" si="3"/>
        <v>412</v>
      </c>
      <c r="L36" s="5"/>
    </row>
    <row r="37" spans="1:12" x14ac:dyDescent="0.3">
      <c r="A37" s="12" t="s">
        <v>560</v>
      </c>
      <c r="B37" s="12">
        <v>98</v>
      </c>
      <c r="C37" s="12" t="s">
        <v>501</v>
      </c>
      <c r="D37" s="12">
        <v>65</v>
      </c>
      <c r="E37" s="12">
        <v>23.5</v>
      </c>
      <c r="F37" s="12">
        <v>24.5</v>
      </c>
      <c r="G37" s="12">
        <v>19.5</v>
      </c>
      <c r="H37" s="12">
        <v>323</v>
      </c>
      <c r="I37" s="12">
        <v>32.5</v>
      </c>
      <c r="J37" s="4">
        <f t="shared" si="2"/>
        <v>23.2</v>
      </c>
      <c r="K37" s="4">
        <f t="shared" si="3"/>
        <v>517</v>
      </c>
      <c r="L37" s="5"/>
    </row>
    <row r="38" spans="1:12" x14ac:dyDescent="0.3">
      <c r="A38" s="12" t="s">
        <v>561</v>
      </c>
      <c r="B38" s="12">
        <v>100</v>
      </c>
      <c r="C38" s="12" t="s">
        <v>501</v>
      </c>
      <c r="D38" s="12">
        <v>71</v>
      </c>
      <c r="E38" s="12">
        <v>23</v>
      </c>
      <c r="F38" s="12">
        <v>26</v>
      </c>
      <c r="G38" s="12">
        <v>23</v>
      </c>
      <c r="H38" s="12">
        <v>318</v>
      </c>
      <c r="I38" s="12">
        <v>33</v>
      </c>
      <c r="J38" s="4">
        <f t="shared" si="2"/>
        <v>24.5</v>
      </c>
      <c r="K38" s="4">
        <f t="shared" si="3"/>
        <v>828</v>
      </c>
      <c r="L38" s="5"/>
    </row>
    <row r="39" spans="1:12" x14ac:dyDescent="0.3">
      <c r="A39" s="12" t="s">
        <v>562</v>
      </c>
      <c r="B39" s="12">
        <v>100</v>
      </c>
      <c r="C39" s="12" t="s">
        <v>501</v>
      </c>
      <c r="D39" s="12">
        <v>65</v>
      </c>
      <c r="E39" s="12">
        <v>23</v>
      </c>
      <c r="F39" s="12">
        <v>26</v>
      </c>
      <c r="G39" s="12">
        <v>23</v>
      </c>
      <c r="H39" s="12">
        <v>318</v>
      </c>
      <c r="I39" s="12">
        <v>32</v>
      </c>
      <c r="J39" s="4">
        <f t="shared" si="2"/>
        <v>24.5</v>
      </c>
      <c r="K39" s="4">
        <f t="shared" si="3"/>
        <v>608</v>
      </c>
      <c r="L39" s="5"/>
    </row>
    <row r="40" spans="1:12" x14ac:dyDescent="0.3">
      <c r="A40" s="12" t="s">
        <v>563</v>
      </c>
      <c r="B40" s="12">
        <v>97</v>
      </c>
      <c r="C40" s="12" t="s">
        <v>501</v>
      </c>
      <c r="D40" s="12">
        <v>66</v>
      </c>
      <c r="E40" s="12">
        <v>21.5</v>
      </c>
      <c r="F40" s="12">
        <v>21.5</v>
      </c>
      <c r="G40" s="12">
        <v>21.5</v>
      </c>
      <c r="H40" s="12">
        <v>332</v>
      </c>
      <c r="I40" s="12">
        <v>32</v>
      </c>
      <c r="J40" s="4">
        <f t="shared" si="2"/>
        <v>21.5</v>
      </c>
      <c r="K40" s="4">
        <f t="shared" si="3"/>
        <v>418</v>
      </c>
      <c r="L40" s="5"/>
    </row>
    <row r="41" spans="1:12" x14ac:dyDescent="0.3">
      <c r="A41" s="12" t="s">
        <v>564</v>
      </c>
      <c r="B41" s="12">
        <v>98</v>
      </c>
      <c r="C41" s="12" t="s">
        <v>501</v>
      </c>
      <c r="D41" s="12">
        <v>65</v>
      </c>
      <c r="E41" s="12">
        <v>20</v>
      </c>
      <c r="F41" s="12">
        <v>23</v>
      </c>
      <c r="G41" s="12">
        <v>21</v>
      </c>
      <c r="H41" s="12">
        <v>318</v>
      </c>
      <c r="I41" s="12">
        <v>32.5</v>
      </c>
      <c r="J41" s="4">
        <f t="shared" si="2"/>
        <v>21.7</v>
      </c>
      <c r="K41" s="4">
        <f t="shared" si="3"/>
        <v>512</v>
      </c>
      <c r="L41" s="5"/>
    </row>
    <row r="42" spans="1:12" x14ac:dyDescent="0.3">
      <c r="A42" s="5" t="s">
        <v>565</v>
      </c>
      <c r="B42" s="5">
        <v>98</v>
      </c>
      <c r="C42" s="5" t="s">
        <v>542</v>
      </c>
      <c r="D42" s="5">
        <v>65</v>
      </c>
      <c r="E42" s="5">
        <v>21</v>
      </c>
      <c r="F42" s="5">
        <v>23</v>
      </c>
      <c r="G42" s="5">
        <v>22</v>
      </c>
      <c r="H42" s="5">
        <v>323</v>
      </c>
      <c r="I42" s="5">
        <v>32</v>
      </c>
      <c r="J42" s="4">
        <f t="shared" si="2"/>
        <v>22.2</v>
      </c>
      <c r="K42" s="4">
        <f t="shared" si="3"/>
        <v>429</v>
      </c>
      <c r="L42" s="5"/>
    </row>
    <row r="43" spans="1:12" x14ac:dyDescent="0.3">
      <c r="A43" s="5" t="s">
        <v>566</v>
      </c>
      <c r="B43" s="5">
        <v>100</v>
      </c>
      <c r="C43" s="5" t="s">
        <v>542</v>
      </c>
      <c r="D43" s="5">
        <v>66</v>
      </c>
      <c r="E43" s="5">
        <v>23</v>
      </c>
      <c r="F43" s="5">
        <v>26</v>
      </c>
      <c r="G43" s="5">
        <v>23</v>
      </c>
      <c r="H43" s="5">
        <v>318</v>
      </c>
      <c r="I43" s="5">
        <v>32.99</v>
      </c>
      <c r="J43" s="4">
        <f t="shared" si="2"/>
        <v>24.5</v>
      </c>
      <c r="K43" s="4">
        <f t="shared" si="3"/>
        <v>630</v>
      </c>
      <c r="L43" s="5"/>
    </row>
    <row r="44" spans="1:12" x14ac:dyDescent="0.3">
      <c r="A44" s="5"/>
      <c r="B44" s="5"/>
      <c r="C44" s="5"/>
      <c r="D44" s="5"/>
      <c r="E44" s="5"/>
      <c r="F44" s="5"/>
      <c r="G44" s="5"/>
      <c r="H44" s="5"/>
      <c r="I44" s="5"/>
      <c r="J44" s="4" t="str">
        <f t="shared" si="2"/>
        <v/>
      </c>
      <c r="K44" s="4" t="str">
        <f t="shared" si="3"/>
        <v/>
      </c>
      <c r="L44" s="5"/>
    </row>
    <row r="45" spans="1:12" x14ac:dyDescent="0.3">
      <c r="A45" s="5"/>
      <c r="B45" s="5"/>
      <c r="C45" s="5"/>
      <c r="D45" s="5"/>
      <c r="E45" s="5"/>
      <c r="F45" s="5"/>
      <c r="G45" s="5"/>
      <c r="H45" s="5"/>
      <c r="I45" s="5"/>
      <c r="J45" s="4" t="str">
        <f t="shared" si="2"/>
        <v/>
      </c>
      <c r="K45" s="4" t="str">
        <f t="shared" si="3"/>
        <v/>
      </c>
      <c r="L45" s="5"/>
    </row>
    <row r="46" spans="1:12" x14ac:dyDescent="0.3">
      <c r="A46" s="5"/>
      <c r="B46" s="5"/>
      <c r="C46" s="5"/>
      <c r="D46" s="5"/>
      <c r="E46" s="5"/>
      <c r="F46" s="5"/>
      <c r="G46" s="5"/>
      <c r="H46" s="5"/>
      <c r="I46" s="5"/>
      <c r="J46" s="4" t="str">
        <f t="shared" si="2"/>
        <v/>
      </c>
      <c r="K46" s="4" t="str">
        <f t="shared" si="3"/>
        <v/>
      </c>
      <c r="L46" s="5"/>
    </row>
    <row r="47" spans="1:12" x14ac:dyDescent="0.3">
      <c r="A47" s="5"/>
      <c r="B47" s="5"/>
      <c r="C47" s="5"/>
      <c r="D47" s="5"/>
      <c r="E47" s="5"/>
      <c r="F47" s="5"/>
      <c r="G47" s="5"/>
      <c r="H47" s="5"/>
      <c r="I47" s="5"/>
      <c r="J47" s="4" t="str">
        <f t="shared" si="2"/>
        <v/>
      </c>
      <c r="K47" s="4" t="str">
        <f t="shared" si="3"/>
        <v/>
      </c>
      <c r="L47" s="5"/>
    </row>
    <row r="48" spans="1:12" x14ac:dyDescent="0.3">
      <c r="A48" s="5"/>
      <c r="B48" s="5"/>
      <c r="C48" s="5"/>
      <c r="D48" s="5"/>
      <c r="E48" s="5"/>
      <c r="F48" s="5"/>
      <c r="G48" s="5"/>
      <c r="H48" s="5"/>
      <c r="I48" s="5"/>
      <c r="J48" s="4" t="str">
        <f t="shared" si="2"/>
        <v/>
      </c>
      <c r="K48" s="4" t="str">
        <f t="shared" si="3"/>
        <v/>
      </c>
      <c r="L48" s="5"/>
    </row>
    <row r="49" spans="1:12" x14ac:dyDescent="0.3">
      <c r="A49" s="5"/>
      <c r="B49" s="5"/>
      <c r="C49" s="5"/>
      <c r="D49" s="5"/>
      <c r="E49" s="5"/>
      <c r="F49" s="5"/>
      <c r="G49" s="5"/>
      <c r="H49" s="5"/>
      <c r="I49" s="5"/>
      <c r="J49" s="4" t="str">
        <f t="shared" si="2"/>
        <v/>
      </c>
      <c r="K49" s="4" t="str">
        <f t="shared" si="3"/>
        <v/>
      </c>
      <c r="L49" s="5"/>
    </row>
    <row r="50" spans="1:12" x14ac:dyDescent="0.3">
      <c r="A50" s="5"/>
      <c r="B50" s="5"/>
      <c r="C50" s="5"/>
      <c r="D50" s="5"/>
      <c r="E50" s="5"/>
      <c r="F50" s="5"/>
      <c r="G50" s="5"/>
      <c r="H50" s="5"/>
      <c r="I50" s="5"/>
      <c r="J50" s="4" t="str">
        <f t="shared" si="2"/>
        <v/>
      </c>
      <c r="K50" s="4" t="str">
        <f t="shared" si="3"/>
        <v/>
      </c>
      <c r="L50" s="5"/>
    </row>
    <row r="51" spans="1:12" x14ac:dyDescent="0.3">
      <c r="A51" s="5"/>
      <c r="B51" s="5"/>
      <c r="C51" s="5"/>
      <c r="D51" s="5"/>
      <c r="E51" s="5"/>
      <c r="F51" s="5"/>
      <c r="G51" s="5"/>
      <c r="H51" s="5"/>
      <c r="I51" s="5"/>
      <c r="J51" s="4" t="str">
        <f t="shared" si="2"/>
        <v/>
      </c>
      <c r="K51" s="4" t="str">
        <f t="shared" si="3"/>
        <v/>
      </c>
      <c r="L51" s="5"/>
    </row>
    <row r="52" spans="1:12" x14ac:dyDescent="0.3">
      <c r="A52" s="5"/>
      <c r="B52" s="5"/>
      <c r="C52" s="5"/>
      <c r="D52" s="5"/>
      <c r="E52" s="5"/>
      <c r="F52" s="5"/>
      <c r="G52" s="5"/>
      <c r="H52" s="5"/>
      <c r="I52" s="5"/>
      <c r="J52" s="4" t="str">
        <f t="shared" si="2"/>
        <v/>
      </c>
      <c r="K52" s="4" t="str">
        <f t="shared" si="3"/>
        <v/>
      </c>
      <c r="L52" s="5"/>
    </row>
    <row r="53" spans="1:12" x14ac:dyDescent="0.3">
      <c r="A53" s="5"/>
      <c r="B53" s="5"/>
      <c r="C53" s="5"/>
      <c r="D53" s="5"/>
      <c r="E53" s="5"/>
      <c r="F53" s="5"/>
      <c r="G53" s="5"/>
      <c r="H53" s="5"/>
      <c r="I53" s="5"/>
      <c r="J53" s="4" t="str">
        <f t="shared" si="2"/>
        <v/>
      </c>
      <c r="K53" s="4" t="str">
        <f t="shared" si="3"/>
        <v/>
      </c>
      <c r="L53" s="5"/>
    </row>
    <row r="54" spans="1:12" x14ac:dyDescent="0.3">
      <c r="A54" s="5"/>
      <c r="B54" s="5"/>
      <c r="C54" s="5"/>
      <c r="D54" s="5"/>
      <c r="E54" s="5"/>
      <c r="F54" s="5"/>
      <c r="G54" s="5"/>
      <c r="H54" s="5"/>
      <c r="I54" s="5"/>
      <c r="J54" s="4" t="str">
        <f t="shared" si="2"/>
        <v/>
      </c>
      <c r="K54" s="4" t="str">
        <f t="shared" si="3"/>
        <v/>
      </c>
      <c r="L54" s="5"/>
    </row>
    <row r="55" spans="1:12" x14ac:dyDescent="0.3">
      <c r="A55" s="5"/>
      <c r="B55" s="5"/>
      <c r="C55" s="5"/>
      <c r="D55" s="5"/>
      <c r="E55" s="5"/>
      <c r="F55" s="5"/>
      <c r="G55" s="5"/>
      <c r="H55" s="5"/>
      <c r="I55" s="5"/>
      <c r="J55" s="4" t="str">
        <f t="shared" si="2"/>
        <v/>
      </c>
      <c r="K55" s="4" t="str">
        <f t="shared" si="3"/>
        <v/>
      </c>
      <c r="L55" s="5"/>
    </row>
    <row r="56" spans="1:12" x14ac:dyDescent="0.3">
      <c r="A56" s="5"/>
      <c r="B56" s="5"/>
      <c r="C56" s="5"/>
      <c r="D56" s="5"/>
      <c r="E56" s="5"/>
      <c r="F56" s="5"/>
      <c r="G56" s="5"/>
      <c r="H56" s="5"/>
      <c r="I56" s="5"/>
      <c r="J56" s="4" t="str">
        <f t="shared" si="2"/>
        <v/>
      </c>
      <c r="K56" s="4" t="str">
        <f t="shared" si="3"/>
        <v/>
      </c>
      <c r="L56" s="5"/>
    </row>
    <row r="57" spans="1:12" x14ac:dyDescent="0.3">
      <c r="A57" s="5"/>
      <c r="B57" s="5"/>
      <c r="C57" s="5"/>
      <c r="D57" s="5"/>
      <c r="E57" s="5"/>
      <c r="F57" s="5"/>
      <c r="G57" s="5"/>
      <c r="H57" s="5"/>
      <c r="I57" s="5"/>
      <c r="J57" s="4" t="str">
        <f t="shared" si="2"/>
        <v/>
      </c>
      <c r="K57" s="4" t="str">
        <f t="shared" si="3"/>
        <v/>
      </c>
      <c r="L57" s="5"/>
    </row>
    <row r="58" spans="1:12" x14ac:dyDescent="0.3">
      <c r="A58" s="5"/>
      <c r="B58" s="5"/>
      <c r="C58" s="5"/>
      <c r="D58" s="5"/>
      <c r="E58" s="5"/>
      <c r="F58" s="5"/>
      <c r="G58" s="5"/>
      <c r="H58" s="5"/>
      <c r="I58" s="5"/>
      <c r="J58" s="4" t="str">
        <f t="shared" si="2"/>
        <v/>
      </c>
      <c r="K58" s="4" t="str">
        <f t="shared" si="3"/>
        <v/>
      </c>
      <c r="L58" s="5"/>
    </row>
    <row r="59" spans="1:12" x14ac:dyDescent="0.3">
      <c r="A59" s="5"/>
      <c r="B59" s="5"/>
      <c r="C59" s="5"/>
      <c r="D59" s="5"/>
      <c r="E59" s="5"/>
      <c r="F59" s="5"/>
      <c r="G59" s="5"/>
      <c r="H59" s="5"/>
      <c r="I59" s="5"/>
      <c r="J59" s="4" t="str">
        <f t="shared" si="2"/>
        <v/>
      </c>
      <c r="K59" s="4" t="str">
        <f t="shared" si="3"/>
        <v/>
      </c>
      <c r="L59" s="5"/>
    </row>
    <row r="60" spans="1:12" x14ac:dyDescent="0.3">
      <c r="A60" s="5"/>
      <c r="B60" s="5"/>
      <c r="C60" s="5"/>
      <c r="D60" s="5"/>
      <c r="E60" s="5"/>
      <c r="F60" s="5"/>
      <c r="G60" s="5"/>
      <c r="H60" s="5"/>
      <c r="I60" s="5"/>
      <c r="J60" s="4" t="str">
        <f t="shared" si="2"/>
        <v/>
      </c>
      <c r="K60" s="4" t="str">
        <f t="shared" si="3"/>
        <v/>
      </c>
      <c r="L60" s="5"/>
    </row>
    <row r="61" spans="1:12" x14ac:dyDescent="0.3">
      <c r="A61" s="5"/>
      <c r="B61" s="5"/>
      <c r="C61" s="5"/>
      <c r="D61" s="5"/>
      <c r="E61" s="5"/>
      <c r="F61" s="5"/>
      <c r="G61" s="5"/>
      <c r="H61" s="5"/>
      <c r="I61" s="5"/>
      <c r="J61" s="4" t="str">
        <f t="shared" si="2"/>
        <v/>
      </c>
      <c r="K61" s="4" t="str">
        <f t="shared" si="3"/>
        <v/>
      </c>
      <c r="L61" s="5"/>
    </row>
    <row r="62" spans="1:12" x14ac:dyDescent="0.3">
      <c r="A62" s="5"/>
      <c r="B62" s="5"/>
      <c r="C62" s="5"/>
      <c r="D62" s="5"/>
      <c r="E62" s="5"/>
      <c r="F62" s="5"/>
      <c r="G62" s="5"/>
      <c r="H62" s="5"/>
      <c r="I62" s="5"/>
      <c r="J62" s="4" t="str">
        <f t="shared" si="2"/>
        <v/>
      </c>
      <c r="K62" s="4" t="str">
        <f t="shared" si="3"/>
        <v/>
      </c>
      <c r="L62" s="5"/>
    </row>
    <row r="63" spans="1:12" x14ac:dyDescent="0.3">
      <c r="A63" s="5"/>
      <c r="B63" s="5"/>
      <c r="C63" s="5"/>
      <c r="D63" s="5"/>
      <c r="E63" s="5"/>
      <c r="F63" s="5"/>
      <c r="G63" s="5"/>
      <c r="H63" s="5"/>
      <c r="I63" s="5"/>
      <c r="J63" s="4" t="str">
        <f t="shared" si="2"/>
        <v/>
      </c>
      <c r="K63" s="4" t="str">
        <f t="shared" si="3"/>
        <v/>
      </c>
      <c r="L63" s="5"/>
    </row>
    <row r="64" spans="1:12" x14ac:dyDescent="0.3">
      <c r="A64" s="5"/>
      <c r="B64" s="5"/>
      <c r="C64" s="5"/>
      <c r="D64" s="5"/>
      <c r="E64" s="5"/>
      <c r="F64" s="5"/>
      <c r="G64" s="5"/>
      <c r="H64" s="5"/>
      <c r="I64" s="5"/>
      <c r="J64" s="4" t="str">
        <f t="shared" si="2"/>
        <v/>
      </c>
      <c r="K64" s="4" t="str">
        <f t="shared" si="3"/>
        <v/>
      </c>
      <c r="L64" s="5"/>
    </row>
    <row r="65" spans="1:12" x14ac:dyDescent="0.3">
      <c r="A65" s="5"/>
      <c r="B65" s="5"/>
      <c r="C65" s="5"/>
      <c r="D65" s="5"/>
      <c r="E65" s="5"/>
      <c r="F65" s="5"/>
      <c r="G65" s="5"/>
      <c r="H65" s="5"/>
      <c r="I65" s="5"/>
      <c r="J65" s="4" t="str">
        <f t="shared" si="2"/>
        <v/>
      </c>
      <c r="K65" s="4" t="str">
        <f t="shared" si="3"/>
        <v/>
      </c>
      <c r="L65" s="5"/>
    </row>
    <row r="66" spans="1:12" x14ac:dyDescent="0.3">
      <c r="A66" s="5"/>
      <c r="B66" s="5"/>
      <c r="C66" s="5"/>
      <c r="D66" s="5"/>
      <c r="E66" s="5"/>
      <c r="F66" s="5"/>
      <c r="G66" s="5"/>
      <c r="H66" s="5"/>
      <c r="I66" s="5"/>
      <c r="J66" s="4" t="str">
        <f t="shared" ref="J66:J101" si="4">IF(A66="","", ROUND(E66*0.3 + F66*0.5 + G66*0.2, 2))</f>
        <v/>
      </c>
      <c r="K66" s="4" t="str">
        <f t="shared" ref="K66:K97" si="5">IF(A66="","", ROUND(300 + (B66-100)*30 + (D66-62)*30 + (J66-23)*20 + (H66-326)*-5 + (I66-32.5)*40 + (360 - (VALUE(LEFT(C66, FIND("x", C66)-1)) * VALUE(RIGHT(C66, LEN(C66)-FIND("x", C66)))))*3, 0))</f>
        <v/>
      </c>
      <c r="L66" s="5"/>
    </row>
    <row r="67" spans="1:12" x14ac:dyDescent="0.3">
      <c r="A67" s="5"/>
      <c r="B67" s="5"/>
      <c r="C67" s="5"/>
      <c r="D67" s="5"/>
      <c r="E67" s="5"/>
      <c r="F67" s="5"/>
      <c r="G67" s="5"/>
      <c r="H67" s="5"/>
      <c r="I67" s="5"/>
      <c r="J67" s="4" t="str">
        <f t="shared" si="4"/>
        <v/>
      </c>
      <c r="K67" s="4" t="str">
        <f t="shared" si="5"/>
        <v/>
      </c>
      <c r="L67" s="5"/>
    </row>
    <row r="68" spans="1:12" x14ac:dyDescent="0.3">
      <c r="A68" s="5"/>
      <c r="B68" s="5"/>
      <c r="C68" s="5"/>
      <c r="D68" s="5"/>
      <c r="E68" s="5"/>
      <c r="F68" s="5"/>
      <c r="G68" s="5"/>
      <c r="H68" s="5"/>
      <c r="I68" s="5"/>
      <c r="J68" s="4" t="str">
        <f t="shared" si="4"/>
        <v/>
      </c>
      <c r="K68" s="4" t="str">
        <f t="shared" si="5"/>
        <v/>
      </c>
      <c r="L68" s="5"/>
    </row>
    <row r="69" spans="1:12" x14ac:dyDescent="0.3">
      <c r="A69" s="5"/>
      <c r="B69" s="5"/>
      <c r="C69" s="5"/>
      <c r="D69" s="5"/>
      <c r="E69" s="5"/>
      <c r="F69" s="5"/>
      <c r="G69" s="5"/>
      <c r="H69" s="5"/>
      <c r="I69" s="5"/>
      <c r="J69" s="4" t="str">
        <f t="shared" si="4"/>
        <v/>
      </c>
      <c r="K69" s="4" t="str">
        <f t="shared" si="5"/>
        <v/>
      </c>
      <c r="L69" s="5"/>
    </row>
    <row r="70" spans="1:12" x14ac:dyDescent="0.3">
      <c r="A70" s="5"/>
      <c r="B70" s="5"/>
      <c r="C70" s="5"/>
      <c r="D70" s="5"/>
      <c r="E70" s="5"/>
      <c r="F70" s="5"/>
      <c r="G70" s="5"/>
      <c r="H70" s="5"/>
      <c r="I70" s="5"/>
      <c r="J70" s="4" t="str">
        <f t="shared" si="4"/>
        <v/>
      </c>
      <c r="K70" s="4" t="str">
        <f t="shared" si="5"/>
        <v/>
      </c>
      <c r="L70" s="5"/>
    </row>
    <row r="71" spans="1:12" x14ac:dyDescent="0.3">
      <c r="A71" s="5"/>
      <c r="B71" s="5"/>
      <c r="C71" s="5"/>
      <c r="D71" s="5"/>
      <c r="E71" s="5"/>
      <c r="F71" s="5"/>
      <c r="G71" s="5"/>
      <c r="H71" s="5"/>
      <c r="I71" s="5"/>
      <c r="J71" s="4" t="str">
        <f t="shared" si="4"/>
        <v/>
      </c>
      <c r="K71" s="4" t="str">
        <f t="shared" si="5"/>
        <v/>
      </c>
      <c r="L71" s="5"/>
    </row>
    <row r="72" spans="1:12" x14ac:dyDescent="0.3">
      <c r="A72" s="5"/>
      <c r="B72" s="5"/>
      <c r="C72" s="5"/>
      <c r="D72" s="5"/>
      <c r="E72" s="5"/>
      <c r="F72" s="5"/>
      <c r="G72" s="5"/>
      <c r="H72" s="5"/>
      <c r="I72" s="5"/>
      <c r="J72" s="4" t="str">
        <f t="shared" si="4"/>
        <v/>
      </c>
      <c r="K72" s="4" t="str">
        <f t="shared" si="5"/>
        <v/>
      </c>
      <c r="L72" s="5"/>
    </row>
    <row r="73" spans="1:12" x14ac:dyDescent="0.3">
      <c r="A73" s="5"/>
      <c r="B73" s="5"/>
      <c r="C73" s="5"/>
      <c r="D73" s="5"/>
      <c r="E73" s="5"/>
      <c r="F73" s="5"/>
      <c r="G73" s="5"/>
      <c r="H73" s="5"/>
      <c r="I73" s="5"/>
      <c r="J73" s="4" t="str">
        <f t="shared" si="4"/>
        <v/>
      </c>
      <c r="K73" s="4" t="str">
        <f t="shared" si="5"/>
        <v/>
      </c>
      <c r="L73" s="5"/>
    </row>
    <row r="74" spans="1:12" x14ac:dyDescent="0.3">
      <c r="A74" s="5"/>
      <c r="B74" s="5"/>
      <c r="C74" s="5"/>
      <c r="D74" s="5"/>
      <c r="E74" s="5"/>
      <c r="F74" s="5"/>
      <c r="G74" s="5"/>
      <c r="H74" s="5"/>
      <c r="I74" s="5"/>
      <c r="J74" s="4" t="str">
        <f t="shared" si="4"/>
        <v/>
      </c>
      <c r="K74" s="4" t="str">
        <f t="shared" si="5"/>
        <v/>
      </c>
      <c r="L74" s="5"/>
    </row>
    <row r="75" spans="1:12" x14ac:dyDescent="0.3">
      <c r="A75" s="5"/>
      <c r="B75" s="5"/>
      <c r="C75" s="5"/>
      <c r="D75" s="5"/>
      <c r="E75" s="5"/>
      <c r="F75" s="5"/>
      <c r="G75" s="5"/>
      <c r="H75" s="5"/>
      <c r="I75" s="5"/>
      <c r="J75" s="4" t="str">
        <f t="shared" si="4"/>
        <v/>
      </c>
      <c r="K75" s="4" t="str">
        <f t="shared" si="5"/>
        <v/>
      </c>
      <c r="L75" s="5"/>
    </row>
    <row r="76" spans="1:12" x14ac:dyDescent="0.3">
      <c r="A76" s="5"/>
      <c r="B76" s="5"/>
      <c r="C76" s="5"/>
      <c r="D76" s="5"/>
      <c r="E76" s="5"/>
      <c r="F76" s="5"/>
      <c r="G76" s="5"/>
      <c r="H76" s="5"/>
      <c r="I76" s="5"/>
      <c r="J76" s="4" t="str">
        <f t="shared" si="4"/>
        <v/>
      </c>
      <c r="K76" s="4" t="str">
        <f t="shared" si="5"/>
        <v/>
      </c>
      <c r="L76" s="5"/>
    </row>
    <row r="77" spans="1:12" x14ac:dyDescent="0.3">
      <c r="A77" s="5"/>
      <c r="B77" s="5"/>
      <c r="C77" s="5"/>
      <c r="D77" s="5"/>
      <c r="E77" s="5"/>
      <c r="F77" s="5"/>
      <c r="G77" s="5"/>
      <c r="H77" s="5"/>
      <c r="I77" s="5"/>
      <c r="J77" s="4" t="str">
        <f t="shared" si="4"/>
        <v/>
      </c>
      <c r="K77" s="4" t="str">
        <f t="shared" si="5"/>
        <v/>
      </c>
      <c r="L77" s="5"/>
    </row>
    <row r="78" spans="1:12" x14ac:dyDescent="0.3">
      <c r="A78" s="5"/>
      <c r="B78" s="5"/>
      <c r="C78" s="5"/>
      <c r="D78" s="5"/>
      <c r="E78" s="5"/>
      <c r="F78" s="5"/>
      <c r="G78" s="5"/>
      <c r="H78" s="5"/>
      <c r="I78" s="5"/>
      <c r="J78" s="4" t="str">
        <f t="shared" si="4"/>
        <v/>
      </c>
      <c r="K78" s="4" t="str">
        <f t="shared" si="5"/>
        <v/>
      </c>
      <c r="L78" s="5"/>
    </row>
    <row r="79" spans="1:12" x14ac:dyDescent="0.3">
      <c r="A79" s="5"/>
      <c r="B79" s="5"/>
      <c r="C79" s="5"/>
      <c r="D79" s="5"/>
      <c r="E79" s="5"/>
      <c r="F79" s="5"/>
      <c r="G79" s="5"/>
      <c r="H79" s="5"/>
      <c r="I79" s="5"/>
      <c r="J79" s="4" t="str">
        <f t="shared" si="4"/>
        <v/>
      </c>
      <c r="K79" s="4" t="str">
        <f t="shared" si="5"/>
        <v/>
      </c>
      <c r="L79" s="5"/>
    </row>
    <row r="80" spans="1:12" x14ac:dyDescent="0.3">
      <c r="A80" s="5"/>
      <c r="B80" s="5"/>
      <c r="C80" s="5"/>
      <c r="D80" s="5"/>
      <c r="E80" s="5"/>
      <c r="F80" s="5"/>
      <c r="G80" s="5"/>
      <c r="H80" s="5"/>
      <c r="I80" s="5"/>
      <c r="J80" s="4" t="str">
        <f t="shared" si="4"/>
        <v/>
      </c>
      <c r="K80" s="4" t="str">
        <f t="shared" si="5"/>
        <v/>
      </c>
      <c r="L80" s="5"/>
    </row>
    <row r="81" spans="1:12" x14ac:dyDescent="0.3">
      <c r="A81" s="5"/>
      <c r="B81" s="5"/>
      <c r="C81" s="5"/>
      <c r="D81" s="5"/>
      <c r="E81" s="5"/>
      <c r="F81" s="5"/>
      <c r="G81" s="5"/>
      <c r="H81" s="5"/>
      <c r="I81" s="5"/>
      <c r="J81" s="4" t="str">
        <f t="shared" si="4"/>
        <v/>
      </c>
      <c r="K81" s="4" t="str">
        <f t="shared" si="5"/>
        <v/>
      </c>
      <c r="L81" s="5"/>
    </row>
    <row r="82" spans="1:12" x14ac:dyDescent="0.3">
      <c r="A82" s="5"/>
      <c r="B82" s="5"/>
      <c r="C82" s="5"/>
      <c r="D82" s="5"/>
      <c r="E82" s="5"/>
      <c r="F82" s="5"/>
      <c r="G82" s="5"/>
      <c r="H82" s="5"/>
      <c r="I82" s="5"/>
      <c r="J82" s="4" t="str">
        <f t="shared" si="4"/>
        <v/>
      </c>
      <c r="K82" s="4" t="str">
        <f t="shared" si="5"/>
        <v/>
      </c>
      <c r="L82" s="5"/>
    </row>
    <row r="83" spans="1:12" x14ac:dyDescent="0.3">
      <c r="A83" s="5"/>
      <c r="B83" s="5"/>
      <c r="C83" s="5"/>
      <c r="D83" s="5"/>
      <c r="E83" s="5"/>
      <c r="F83" s="5"/>
      <c r="G83" s="5"/>
      <c r="H83" s="5"/>
      <c r="I83" s="5"/>
      <c r="J83" s="4" t="str">
        <f t="shared" si="4"/>
        <v/>
      </c>
      <c r="K83" s="4" t="str">
        <f t="shared" si="5"/>
        <v/>
      </c>
      <c r="L83" s="5"/>
    </row>
    <row r="84" spans="1:12" x14ac:dyDescent="0.3">
      <c r="A84" s="5"/>
      <c r="B84" s="5"/>
      <c r="C84" s="5"/>
      <c r="D84" s="5"/>
      <c r="E84" s="5"/>
      <c r="F84" s="5"/>
      <c r="G84" s="5"/>
      <c r="H84" s="5"/>
      <c r="I84" s="5"/>
      <c r="J84" s="4" t="str">
        <f t="shared" si="4"/>
        <v/>
      </c>
      <c r="K84" s="4" t="str">
        <f t="shared" si="5"/>
        <v/>
      </c>
      <c r="L84" s="5"/>
    </row>
    <row r="85" spans="1:12" x14ac:dyDescent="0.3">
      <c r="A85" s="5"/>
      <c r="B85" s="5"/>
      <c r="C85" s="5"/>
      <c r="D85" s="5"/>
      <c r="E85" s="5"/>
      <c r="F85" s="5"/>
      <c r="G85" s="5"/>
      <c r="H85" s="5"/>
      <c r="I85" s="5"/>
      <c r="J85" s="4" t="str">
        <f t="shared" si="4"/>
        <v/>
      </c>
      <c r="K85" s="4" t="str">
        <f t="shared" si="5"/>
        <v/>
      </c>
      <c r="L85" s="5"/>
    </row>
    <row r="86" spans="1:12" x14ac:dyDescent="0.3">
      <c r="A86" s="5"/>
      <c r="B86" s="5"/>
      <c r="C86" s="5"/>
      <c r="D86" s="5"/>
      <c r="E86" s="5"/>
      <c r="F86" s="5"/>
      <c r="G86" s="5"/>
      <c r="H86" s="5"/>
      <c r="I86" s="5"/>
      <c r="J86" s="4" t="str">
        <f t="shared" si="4"/>
        <v/>
      </c>
      <c r="K86" s="4" t="str">
        <f t="shared" si="5"/>
        <v/>
      </c>
      <c r="L86" s="5"/>
    </row>
    <row r="87" spans="1:12" x14ac:dyDescent="0.3">
      <c r="A87" s="5"/>
      <c r="B87" s="5"/>
      <c r="C87" s="5"/>
      <c r="D87" s="5"/>
      <c r="E87" s="5"/>
      <c r="F87" s="5"/>
      <c r="G87" s="5"/>
      <c r="H87" s="5"/>
      <c r="I87" s="5"/>
      <c r="J87" s="4" t="str">
        <f t="shared" si="4"/>
        <v/>
      </c>
      <c r="K87" s="4" t="str">
        <f t="shared" si="5"/>
        <v/>
      </c>
      <c r="L87" s="5"/>
    </row>
    <row r="88" spans="1:12" x14ac:dyDescent="0.3">
      <c r="A88" s="5"/>
      <c r="B88" s="5"/>
      <c r="C88" s="5"/>
      <c r="D88" s="5"/>
      <c r="E88" s="5"/>
      <c r="F88" s="5"/>
      <c r="G88" s="5"/>
      <c r="H88" s="5"/>
      <c r="I88" s="5"/>
      <c r="J88" s="4" t="str">
        <f t="shared" si="4"/>
        <v/>
      </c>
      <c r="K88" s="4" t="str">
        <f t="shared" si="5"/>
        <v/>
      </c>
      <c r="L88" s="5"/>
    </row>
    <row r="89" spans="1:12" x14ac:dyDescent="0.3">
      <c r="A89" s="5"/>
      <c r="B89" s="5"/>
      <c r="C89" s="5"/>
      <c r="D89" s="5"/>
      <c r="E89" s="5"/>
      <c r="F89" s="5"/>
      <c r="G89" s="5"/>
      <c r="H89" s="5"/>
      <c r="I89" s="5"/>
      <c r="J89" s="4" t="str">
        <f t="shared" si="4"/>
        <v/>
      </c>
      <c r="K89" s="4" t="str">
        <f t="shared" si="5"/>
        <v/>
      </c>
      <c r="L89" s="5"/>
    </row>
    <row r="90" spans="1:12" x14ac:dyDescent="0.3">
      <c r="A90" s="5"/>
      <c r="B90" s="5"/>
      <c r="C90" s="5"/>
      <c r="D90" s="5"/>
      <c r="E90" s="5"/>
      <c r="F90" s="5"/>
      <c r="G90" s="5"/>
      <c r="H90" s="5"/>
      <c r="I90" s="5"/>
      <c r="J90" s="4" t="str">
        <f t="shared" si="4"/>
        <v/>
      </c>
      <c r="K90" s="4" t="str">
        <f t="shared" si="5"/>
        <v/>
      </c>
      <c r="L90" s="5"/>
    </row>
    <row r="91" spans="1:12" x14ac:dyDescent="0.3">
      <c r="A91" s="5"/>
      <c r="B91" s="5"/>
      <c r="C91" s="5"/>
      <c r="D91" s="5"/>
      <c r="E91" s="5"/>
      <c r="F91" s="5"/>
      <c r="G91" s="5"/>
      <c r="H91" s="5"/>
      <c r="I91" s="5"/>
      <c r="J91" s="4" t="str">
        <f t="shared" si="4"/>
        <v/>
      </c>
      <c r="K91" s="4" t="str">
        <f t="shared" si="5"/>
        <v/>
      </c>
      <c r="L91" s="5"/>
    </row>
    <row r="92" spans="1:12" x14ac:dyDescent="0.3">
      <c r="A92" s="5"/>
      <c r="B92" s="5"/>
      <c r="C92" s="5"/>
      <c r="D92" s="5"/>
      <c r="E92" s="5"/>
      <c r="F92" s="5"/>
      <c r="G92" s="5"/>
      <c r="H92" s="5"/>
      <c r="I92" s="5"/>
      <c r="J92" s="4" t="str">
        <f t="shared" si="4"/>
        <v/>
      </c>
      <c r="K92" s="4" t="str">
        <f t="shared" si="5"/>
        <v/>
      </c>
      <c r="L92" s="5"/>
    </row>
    <row r="93" spans="1:12" x14ac:dyDescent="0.3">
      <c r="A93" s="5"/>
      <c r="B93" s="5"/>
      <c r="C93" s="5"/>
      <c r="D93" s="5"/>
      <c r="E93" s="5"/>
      <c r="F93" s="5"/>
      <c r="G93" s="5"/>
      <c r="H93" s="5"/>
      <c r="I93" s="5"/>
      <c r="J93" s="4" t="str">
        <f t="shared" si="4"/>
        <v/>
      </c>
      <c r="K93" s="4" t="str">
        <f t="shared" si="5"/>
        <v/>
      </c>
      <c r="L93" s="5"/>
    </row>
    <row r="94" spans="1:12" x14ac:dyDescent="0.3">
      <c r="A94" s="5"/>
      <c r="B94" s="5"/>
      <c r="C94" s="5"/>
      <c r="D94" s="5"/>
      <c r="E94" s="5"/>
      <c r="F94" s="5"/>
      <c r="G94" s="5"/>
      <c r="H94" s="5"/>
      <c r="I94" s="5"/>
      <c r="J94" s="4" t="str">
        <f t="shared" si="4"/>
        <v/>
      </c>
      <c r="K94" s="4" t="str">
        <f t="shared" si="5"/>
        <v/>
      </c>
      <c r="L94" s="5"/>
    </row>
    <row r="95" spans="1:12" x14ac:dyDescent="0.3">
      <c r="A95" s="5"/>
      <c r="B95" s="5"/>
      <c r="C95" s="5"/>
      <c r="D95" s="5"/>
      <c r="E95" s="5"/>
      <c r="F95" s="5"/>
      <c r="G95" s="5"/>
      <c r="H95" s="5"/>
      <c r="I95" s="5"/>
      <c r="J95" s="4" t="str">
        <f t="shared" si="4"/>
        <v/>
      </c>
      <c r="K95" s="4" t="str">
        <f t="shared" si="5"/>
        <v/>
      </c>
      <c r="L95" s="5"/>
    </row>
    <row r="96" spans="1:12" x14ac:dyDescent="0.3">
      <c r="A96" s="5"/>
      <c r="B96" s="5"/>
      <c r="C96" s="5"/>
      <c r="D96" s="5"/>
      <c r="E96" s="5"/>
      <c r="F96" s="5"/>
      <c r="G96" s="5"/>
      <c r="H96" s="5"/>
      <c r="I96" s="5"/>
      <c r="J96" s="4" t="str">
        <f t="shared" si="4"/>
        <v/>
      </c>
      <c r="K96" s="4" t="str">
        <f t="shared" si="5"/>
        <v/>
      </c>
      <c r="L96" s="5"/>
    </row>
    <row r="97" spans="1:12" x14ac:dyDescent="0.3">
      <c r="A97" s="5"/>
      <c r="B97" s="5"/>
      <c r="C97" s="5"/>
      <c r="D97" s="5"/>
      <c r="E97" s="5"/>
      <c r="F97" s="5"/>
      <c r="G97" s="5"/>
      <c r="H97" s="5"/>
      <c r="I97" s="5"/>
      <c r="J97" s="4" t="str">
        <f t="shared" si="4"/>
        <v/>
      </c>
      <c r="K97" s="4" t="str">
        <f t="shared" si="5"/>
        <v/>
      </c>
      <c r="L97" s="5"/>
    </row>
    <row r="98" spans="1:12" x14ac:dyDescent="0.3">
      <c r="A98" s="5"/>
      <c r="B98" s="5"/>
      <c r="C98" s="5"/>
      <c r="D98" s="5"/>
      <c r="E98" s="5"/>
      <c r="F98" s="5"/>
      <c r="G98" s="5"/>
      <c r="H98" s="5"/>
      <c r="I98" s="5"/>
      <c r="J98" s="4" t="str">
        <f t="shared" si="4"/>
        <v/>
      </c>
      <c r="K98" s="4" t="str">
        <f t="shared" ref="K98:K129" si="6">IF(A98="","", ROUND(300 + (B98-100)*30 + (D98-62)*30 + (J98-23)*20 + (H98-326)*-5 + (I98-32.5)*40 + (360 - (VALUE(LEFT(C98, FIND("x", C98)-1)) * VALUE(RIGHT(C98, LEN(C98)-FIND("x", C98)))))*3, 0))</f>
        <v/>
      </c>
      <c r="L98" s="5"/>
    </row>
    <row r="99" spans="1:12" x14ac:dyDescent="0.3">
      <c r="A99" s="5"/>
      <c r="B99" s="5"/>
      <c r="C99" s="5"/>
      <c r="D99" s="5"/>
      <c r="E99" s="5"/>
      <c r="F99" s="5"/>
      <c r="G99" s="5"/>
      <c r="H99" s="5"/>
      <c r="I99" s="5"/>
      <c r="J99" s="4" t="str">
        <f t="shared" si="4"/>
        <v/>
      </c>
      <c r="K99" s="4" t="str">
        <f t="shared" si="6"/>
        <v/>
      </c>
      <c r="L99" s="5"/>
    </row>
    <row r="100" spans="1:12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" t="str">
        <f t="shared" si="4"/>
        <v/>
      </c>
      <c r="K100" s="4" t="str">
        <f t="shared" si="6"/>
        <v/>
      </c>
      <c r="L100" s="5"/>
    </row>
    <row r="101" spans="1:1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" t="str">
        <f t="shared" si="4"/>
        <v/>
      </c>
      <c r="K101" s="4" t="str">
        <f t="shared" si="6"/>
        <v/>
      </c>
      <c r="L101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6.5" x14ac:dyDescent="0.3"/>
  <cols>
    <col min="1" max="1" width="25.75" customWidth="1"/>
    <col min="2" max="2" width="35.75" customWidth="1"/>
    <col min="3" max="5" width="25.75" customWidth="1"/>
    <col min="6" max="6" width="30.75" customWidth="1"/>
  </cols>
  <sheetData>
    <row r="1" spans="1:5" x14ac:dyDescent="0.3">
      <c r="A1" s="2" t="s">
        <v>508</v>
      </c>
      <c r="B1" s="2" t="s">
        <v>509</v>
      </c>
      <c r="C1" s="2" t="s">
        <v>510</v>
      </c>
      <c r="D1" s="2" t="s">
        <v>511</v>
      </c>
      <c r="E1" s="2" t="s">
        <v>512</v>
      </c>
    </row>
    <row r="2" spans="1:5" x14ac:dyDescent="0.3">
      <c r="A2" s="2" t="s">
        <v>513</v>
      </c>
      <c r="B2" s="5"/>
      <c r="C2" s="4" t="str">
        <f>"두께:"&amp;IFERROR(VLOOKUP(B2,라켓DB!A:L,10,FALSE),"")&amp;" / 무게:"&amp;IFERROR(VLOOKUP(B2,라켓DB!A:L,8,FALSE),"")&amp;"g / 밸런스:"&amp;IFERROR(VLOOKUP(B2,라켓DB!A:L,9,FALSE),"")&amp;"cm"</f>
        <v>두께: / 무게:g / 밸런스:cm</v>
      </c>
      <c r="D2" s="4" t="str">
        <f>IFERROR(VLOOKUP(B2, 라켓DB!A:L, 3, FALSE), "")</f>
        <v/>
      </c>
      <c r="E2" s="4" t="str">
        <f>"종합파워: " &amp; IFERROR(VLOOKUP(B2, 라켓DB!A:L, 11, FALSE), "")</f>
        <v xml:space="preserve">종합파워: </v>
      </c>
    </row>
    <row r="3" spans="1:5" x14ac:dyDescent="0.3">
      <c r="A3" s="2" t="s">
        <v>514</v>
      </c>
      <c r="B3" s="5"/>
      <c r="C3" s="4" t="str">
        <f>"로스율: " &amp; IFERROR(VLOOKUP(B3, 스트링DB!A:H, 5, FALSE), "") &amp; "%"</f>
        <v>로스율: %</v>
      </c>
      <c r="D3" s="4" t="str">
        <f>"강성: " &amp; IFERROR(VLOOKUP(B3, 스트링DB!A:H, 4, FALSE), "")</f>
        <v xml:space="preserve">강성: </v>
      </c>
      <c r="E3" s="4" t="str">
        <f>"두께: " &amp; IFERROR(VLOOKUP(B3, 스트링DB!A:H, 2, FALSE), "") &amp; " mm"</f>
        <v>두께:  mm</v>
      </c>
    </row>
    <row r="4" spans="1:5" x14ac:dyDescent="0.3">
      <c r="A4" s="2" t="s">
        <v>515</v>
      </c>
      <c r="B4" s="5"/>
      <c r="C4" s="6" t="s">
        <v>516</v>
      </c>
      <c r="D4" s="6" t="s">
        <v>517</v>
      </c>
    </row>
    <row r="5" spans="1:5" x14ac:dyDescent="0.3">
      <c r="A5" s="2" t="s">
        <v>518</v>
      </c>
      <c r="B5" s="5"/>
      <c r="C5" s="6" t="s">
        <v>519</v>
      </c>
      <c r="D5" s="6" t="s">
        <v>520</v>
      </c>
    </row>
    <row r="6" spans="1:5" x14ac:dyDescent="0.3">
      <c r="A6" s="2" t="s">
        <v>521</v>
      </c>
      <c r="B6" s="2" t="s">
        <v>521</v>
      </c>
      <c r="C6" s="2" t="s">
        <v>521</v>
      </c>
      <c r="D6" s="2" t="s">
        <v>521</v>
      </c>
      <c r="E6" s="2" t="s">
        <v>521</v>
      </c>
    </row>
    <row r="7" spans="1:5" x14ac:dyDescent="0.3">
      <c r="A7" s="2" t="s">
        <v>522</v>
      </c>
      <c r="B7" s="5"/>
      <c r="C7" s="4" t="str">
        <f>"두께:"&amp;IFERROR(VLOOKUP(B7,라켓DB!A:L,10,FALSE),"")&amp;" / 무게:"&amp;IFERROR(VLOOKUP(B7,라켓DB!A:L,8,FALSE),"")&amp;"g / 밸런스:"&amp;IFERROR(VLOOKUP(B7,라켓DB!A:L,9,FALSE),"")&amp;"cm"</f>
        <v>두께: / 무게:g / 밸런스:cm</v>
      </c>
      <c r="D7" s="4" t="str">
        <f>IFERROR(VLOOKUP(B7, 라켓DB!A:L, 3, FALSE), "")</f>
        <v/>
      </c>
      <c r="E7" s="4" t="str">
        <f>"종합파워: " &amp; IFERROR(VLOOKUP(B7, 라켓DB!A:L, 11, FALSE), "")</f>
        <v xml:space="preserve">종합파워: </v>
      </c>
    </row>
    <row r="8" spans="1:5" x14ac:dyDescent="0.3">
      <c r="A8" s="2" t="s">
        <v>523</v>
      </c>
      <c r="B8" s="5"/>
      <c r="C8" s="4" t="str">
        <f>"로스율: " &amp; IFERROR(VLOOKUP(B8, 스트링DB!A:H, 5, FALSE), "") &amp; "%"</f>
        <v>로스율: %</v>
      </c>
      <c r="D8" s="4" t="str">
        <f>"강성: " &amp; IFERROR(VLOOKUP(B8, 스트링DB!A:H, 4, FALSE), "")</f>
        <v xml:space="preserve">강성: </v>
      </c>
      <c r="E8" s="4" t="str">
        <f>"두께: " &amp; IFERROR(VLOOKUP(B8, 스트링DB!A:H, 2, FALSE), "") &amp; " mm"</f>
        <v>두께:  mm</v>
      </c>
    </row>
    <row r="9" spans="1:5" x14ac:dyDescent="0.3">
      <c r="A9" s="2" t="s">
        <v>521</v>
      </c>
      <c r="B9" s="2" t="s">
        <v>521</v>
      </c>
      <c r="C9" s="2" t="s">
        <v>521</v>
      </c>
      <c r="D9" s="2" t="s">
        <v>521</v>
      </c>
      <c r="E9" s="2" t="s">
        <v>521</v>
      </c>
    </row>
    <row r="10" spans="1:5" x14ac:dyDescent="0.3">
      <c r="A10" s="2" t="s">
        <v>524</v>
      </c>
      <c r="B10" s="2" t="str">
        <f>IF(OR(B2="", B3="", B7="", B8=""), "장비 입력 대기중...", IF(AND(B4="", B5=""), "텐션 입력 대기중...", ROUND(IF(B4&lt;&gt;"", B4, IF(B5&lt;&gt;"", (B5*0.65)/(1-VLOOKUP(B3, 스트링DB!A:H, 5, FALSE)/100), 0)) + IFERROR(((VLOOKUP(B8, 스트링DB!A:H, 5, FALSE) - VLOOKUP(B3, 스트링DB!A:H, 5, FALSE)) * 0.153),0) + IFERROR(((VLOOKUP(B3, 스트링DB!A:H, 4, FALSE) - VLOOKUP(B8, 스트링DB!A:H, 4, FALSE)) * 0.0306),0) + IFERROR(((VLOOKUP(B3, 스트링DB!A:H, 2, FALSE) - VLOOKUP(B8, 스트링DB!A:H, 2, FALSE)) * 15.3),0) + IFERROR(((VLOOKUP(B7, 라켓DB!A:L, 11, FALSE) - VLOOKUP(B2, 라켓DB!A:L, 11, FALSE)) * 0.0126),0), 1) &amp; " lbs"))</f>
        <v>장비 입력 대기중...</v>
      </c>
      <c r="C10" s="7" t="s">
        <v>525</v>
      </c>
      <c r="D10" s="7"/>
      <c r="E10" s="7"/>
    </row>
    <row r="11" spans="1:5" ht="60" customHeight="1" x14ac:dyDescent="0.3">
      <c r="A11" s="2" t="s">
        <v>526</v>
      </c>
      <c r="B11" s="8" t="str">
        <f>IF(OR(B2="", B3="", B7="", B8=""), "장비를 모두 선택하시면 체감 변화에 대한 조언이 자동으로 표시됩니다.", (IF(VLOOKUP(B7, 라켓DB!A:L, 11, FALSE)-VLOOKUP(B2, 라켓DB!A:L, 11, FALSE)&gt;=20, "▶ [라켓] 파워 증가: 이전보다 공이 잘 나갑니다(비거리 증가). ", IF(VLOOKUP(B2, 라켓DB!A:L, 11, FALSE)-VLOOKUP(B7, 라켓DB!A:L, 11, FALSE)&gt;=20, "▶ [라켓] 파워 감소: 이전보다 덜 나가며 컨트롤이 강조됩니다. ", "▶ [라켓] 파워: 체감 파워는 기존과 비슷한 수준입니다. ")) &amp; CHAR(10) &amp; IF(VLOOKUP(B8, 스트링DB!A:H, 4, FALSE)-VLOOKUP(B3, 스트링DB!A:H, 4, FALSE)&gt;=15, "▶ [타구감] 더 딱딱함: 새 스트링이 더 단단하여 타구감이 다소 딱딱해집니다. ", IF(VLOOKUP(B3, 스트링DB!A:H, 4, FALSE)-VLOOKUP(B8, 스트링DB!A:H, 4, FALSE)&gt;=15, "▶ [타구감] 더 부드러움: 새 스트링이 푹신하고 안락한 느낌을 줍니다. ", "▶ [타구감] 체감되는 단단함은 기존과 비슷합니다. ")) &amp; CHAR(10) &amp; IF(VLOOKUP(B8, 스트링DB!A:H, 2, FALSE)&lt;VLOOKUP(B3, 스트링DB!A:H, 2, FALSE), "▶ [스핀/반발] 스트링이 얇아져서 스핀과 반발력이 미세하게 상승합니다.", IF(VLOOKUP(B8, 스트링DB!A:H, 2, FALSE)&gt;VLOOKUP(B3, 스트링DB!A:H, 2, FALSE), "▶ [내구성/컨트롤] 스트링이 두꺼워져 내구성과 묵직한 컨트롤에 유리합니다.", "▶ [두께] 게이지는 동일합니다."))))</f>
        <v>장비를 모두 선택하시면 체감 변화에 대한 조언이 자동으로 표시됩니다.</v>
      </c>
      <c r="C11" s="8"/>
      <c r="D11" s="8"/>
      <c r="E11" s="8"/>
    </row>
    <row r="12" spans="1:5" ht="60" customHeight="1" x14ac:dyDescent="0.3">
      <c r="A12" s="2" t="s">
        <v>527</v>
      </c>
      <c r="B12" s="9" t="s">
        <v>528</v>
      </c>
      <c r="C12" s="9"/>
      <c r="D12" s="9"/>
      <c r="E12" s="9"/>
    </row>
  </sheetData>
  <mergeCells count="3">
    <mergeCell ref="C10:E10"/>
    <mergeCell ref="B11:E11"/>
    <mergeCell ref="B12:E12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OFFSET(라켓DB!$A$2, 0, 0, COUNTA(라켓DB!$A$2:$A$101), 1)</xm:f>
          </x14:formula1>
          <xm:sqref>B2 B7</xm:sqref>
        </x14:dataValidation>
        <x14:dataValidation type="list" allowBlank="1" showInputMessage="1" showErrorMessage="1" xr:uid="{00000000-0002-0000-0200-000001000000}">
          <x14:formula1>
            <xm:f>스트링DB!$A$2:$A$473</xm:f>
          </x14:formula1>
          <xm:sqref>B3 B8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스트링DB</vt:lpstr>
      <vt:lpstr>라켓DB</vt:lpstr>
      <vt:lpstr>기변_통합예측기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원길 김</cp:lastModifiedBy>
  <dcterms:created xsi:type="dcterms:W3CDTF">2026-03-17T06:34:56Z</dcterms:created>
  <dcterms:modified xsi:type="dcterms:W3CDTF">2026-03-17T07:18:55Z</dcterms:modified>
</cp:coreProperties>
</file>